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 Behavioral Design" sheetId="1" state="visible" r:id="rId1"/>
    <sheet name="ANS Soporte B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FFFFFFFF"/>
      <sz val="13"/>
    </font>
    <font>
      <color rgb="FF1F4E79"/>
      <sz val="10"/>
    </font>
    <font>
      <b val="1"/>
      <color rgb="FFFFFFFF"/>
      <sz val="11"/>
    </font>
    <font>
      <b val="1"/>
      <color rgb="FF000000"/>
      <sz val="11"/>
    </font>
    <font>
      <color rgb="FF000000"/>
      <sz val="9"/>
    </font>
    <font>
      <b val="1"/>
      <color rgb="FF375623"/>
      <sz val="11"/>
    </font>
    <font>
      <b val="1"/>
      <color rgb="FF7030A0"/>
      <sz val="11"/>
    </font>
    <font>
      <color rgb="FF375623"/>
      <sz val="9"/>
    </font>
    <font>
      <color rgb="FF7030A0"/>
      <sz val="9"/>
    </font>
    <font>
      <color rgb="FF000000"/>
      <sz val="10"/>
    </font>
    <font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4B942"/>
      </patternFill>
    </fill>
    <fill>
      <patternFill patternType="solid">
        <fgColor rgb="FFC6EFCE"/>
      </patternFill>
    </fill>
    <fill>
      <patternFill patternType="solid">
        <fgColor rgb="FFEBD1FF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ANS + Appetite de Tareas — Behavioral Design (propuesta del equipo)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>
      <c r="A2" s="4" t="inlineStr">
        <is>
          <t>Tallaje por TIPO DE ENTREGABLE (no por etapa de un pipeline fijo). Los días son un appetite —presupuesto que el equipo decide invertir y calibra con su propio historial (retro trimestral)— no un estimado derivado de descomponer tareas. Ver reportes/ans_behavioral_design.md para el respaldo (/trinidad) y el detalle completo.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</row>
    <row r="4">
      <c r="A4" s="5" t="inlineStr">
        <is>
          <t>⚙️  PARÁMETRO DE CONVERSIÓN</t>
        </is>
      </c>
      <c r="B4" s="2" t="n"/>
      <c r="C4" s="3" t="n"/>
      <c r="D4" s="6" t="inlineStr">
        <is>
          <t>Monedas 🪙 por día efectivo</t>
        </is>
      </c>
      <c r="F4" s="7" t="inlineStr">
        <is>
          <t>0.67</t>
        </is>
      </c>
      <c r="G4" s="8" t="inlineStr">
        <is>
          <t>← 1 🪙 ≈ 1.5 días efectivos (recalibrar cada trimestre con beholder_tools.py retro)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3" t="n"/>
    </row>
    <row r="5">
      <c r="A5" s="9" t="inlineStr">
        <is>
          <t>⚠️ Sin factor de asignación lineal</t>
        </is>
      </c>
      <c r="B5" s="2" t="n"/>
      <c r="C5" s="3" t="n"/>
      <c r="D5" s="10" t="inlineStr">
        <is>
          <t>La capacidad real se valida en el libro mayor de monedas del Beholder (≤8 🪙 simultáneas por persona), no multiplicando días por 1/%asignación.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3" t="n"/>
    </row>
    <row r="7">
      <c r="A7" s="5" t="inlineStr">
        <is>
          <t>Entrega Behavioral Design (por tipo de entregable)</t>
        </is>
      </c>
      <c r="B7" s="6" t="inlineStr">
        <is>
          <t>Appetite — ANS Base (días efectivos)</t>
        </is>
      </c>
      <c r="C7" s="2" t="n"/>
      <c r="D7" s="2" t="n"/>
      <c r="E7" s="3" t="n"/>
      <c r="F7" s="11" t="inlineStr">
        <is>
          <t>Monedas 🪙 equivalentes</t>
        </is>
      </c>
      <c r="G7" s="2" t="n"/>
      <c r="H7" s="2" t="n"/>
      <c r="I7" s="3" t="n"/>
      <c r="J7" s="6" t="inlineStr">
        <is>
          <t>Feedback + VB
(días extra si hay gate externo)</t>
        </is>
      </c>
      <c r="K7" s="12" t="inlineStr">
        <is>
          <t>Appetite total con feedback (días)</t>
        </is>
      </c>
      <c r="L7" s="2" t="n"/>
      <c r="M7" s="2" t="n"/>
      <c r="N7" s="3" t="n"/>
      <c r="O7" s="13" t="inlineStr">
        <is>
          <t>Referencia rápida
(no requiere quest, va como soporte)</t>
        </is>
      </c>
      <c r="P7" s="2" t="n"/>
      <c r="Q7" s="3" t="n"/>
    </row>
    <row r="8">
      <c r="A8" s="14" t="n"/>
      <c r="B8" s="6" t="inlineStr">
        <is>
          <t>S</t>
        </is>
      </c>
      <c r="C8" s="6" t="inlineStr">
        <is>
          <t>M</t>
        </is>
      </c>
      <c r="D8" s="6" t="inlineStr">
        <is>
          <t>L</t>
        </is>
      </c>
      <c r="E8" s="6" t="inlineStr">
        <is>
          <t>XL</t>
        </is>
      </c>
      <c r="F8" s="11" t="inlineStr">
        <is>
          <t>S</t>
        </is>
      </c>
      <c r="G8" s="11" t="inlineStr">
        <is>
          <t>M</t>
        </is>
      </c>
      <c r="H8" s="11" t="inlineStr">
        <is>
          <t>L</t>
        </is>
      </c>
      <c r="I8" s="11" t="inlineStr">
        <is>
          <t>XL</t>
        </is>
      </c>
      <c r="J8" s="14" t="n"/>
      <c r="K8" s="12" t="inlineStr">
        <is>
          <t>S</t>
        </is>
      </c>
      <c r="L8" s="12" t="inlineStr">
        <is>
          <t>M</t>
        </is>
      </c>
      <c r="M8" s="12" t="inlineStr">
        <is>
          <t>L</t>
        </is>
      </c>
      <c r="N8" s="12" t="inlineStr">
        <is>
          <t>XL</t>
        </is>
      </c>
      <c r="O8" s="13" t="inlineStr">
        <is>
          <t>Sesión</t>
        </is>
      </c>
      <c r="P8" s="13" t="inlineStr">
        <is>
          <t>Revisión</t>
        </is>
      </c>
      <c r="Q8" s="13" t="inlineStr">
        <is>
          <t>Co-diseño</t>
        </is>
      </c>
    </row>
    <row r="9">
      <c r="A9" s="15" t="n"/>
      <c r="B9" s="16" t="inlineStr">
        <is>
          <t>Reuso de plantilla/patrón</t>
        </is>
      </c>
      <c r="C9" s="16" t="inlineStr">
        <is>
          <t>Producto o bloque nuevo</t>
        </is>
      </c>
      <c r="D9" s="16" t="inlineStr">
        <is>
          <t>Familia/canal completo</t>
        </is>
      </c>
      <c r="E9" s="16" t="inlineStr">
        <is>
          <t>Programa/ecosistema E2E</t>
        </is>
      </c>
      <c r="F9" s="17" t="inlineStr">
        <is>
          <t>días × 0.67</t>
        </is>
      </c>
      <c r="G9" s="17" t="inlineStr">
        <is>
          <t>días × 0.67</t>
        </is>
      </c>
      <c r="H9" s="17" t="inlineStr">
        <is>
          <t>días × 0.67</t>
        </is>
      </c>
      <c r="I9" s="17" t="inlineStr">
        <is>
          <t>días × 0.67</t>
        </is>
      </c>
      <c r="J9" s="15" t="n"/>
      <c r="K9" s="18" t="inlineStr">
        <is>
          <t>ANS Base + Feedback</t>
        </is>
      </c>
      <c r="L9" s="18" t="inlineStr">
        <is>
          <t>ANS Base + Feedback</t>
        </is>
      </c>
      <c r="M9" s="18" t="inlineStr">
        <is>
          <t>ANS Base + Feedback</t>
        </is>
      </c>
      <c r="N9" s="18" t="inlineStr">
        <is>
          <t>ANS Base + Feedback</t>
        </is>
      </c>
      <c r="O9" s="19" t="inlineStr">
        <is>
          <t>0.5–1h</t>
        </is>
      </c>
      <c r="P9" s="19" t="inlineStr">
        <is>
          <t>2–4h</t>
        </is>
      </c>
      <c r="Q9" s="19" t="inlineStr">
        <is>
          <t>1–2d</t>
        </is>
      </c>
    </row>
    <row r="10" ht="30" customHeight="1">
      <c r="A10" s="20" t="inlineStr">
        <is>
          <t>🔍 Evidencia y diagnóstico
(desk research, bench, behavioral journey, diagnóstico de barreras, análisis de data conductual)</t>
        </is>
      </c>
      <c r="B10" s="21" t="n">
        <v>2</v>
      </c>
      <c r="C10" s="21" t="n">
        <v>4</v>
      </c>
      <c r="D10" s="21" t="n">
        <v>8</v>
      </c>
      <c r="E10" s="21" t="n">
        <v>12</v>
      </c>
      <c r="F10" s="22">
        <f>B10*$F$4</f>
        <v/>
      </c>
      <c r="G10" s="22">
        <f>C10*$F$4</f>
        <v/>
      </c>
      <c r="H10" s="22">
        <f>D10*$F$4</f>
        <v/>
      </c>
      <c r="I10" s="22">
        <f>E10*$F$4</f>
        <v/>
      </c>
      <c r="J10" s="21" t="n">
        <v>2</v>
      </c>
      <c r="K10" s="21">
        <f>B10+$J10</f>
        <v/>
      </c>
      <c r="L10" s="21">
        <f>C10+$J10</f>
        <v/>
      </c>
      <c r="M10" s="21">
        <f>D10+$J10</f>
        <v/>
      </c>
      <c r="N10" s="21">
        <f>E10+$J10</f>
        <v/>
      </c>
    </row>
    <row r="11" ht="30" customHeight="1">
      <c r="A11" s="20" t="inlineStr">
        <is>
          <t>📣 Comunicación conductual
(guías resumidas, flyers, cartas, plantillas de mensaje para asesores, guías de comunicación con speeches, journeys, notificaciones)</t>
        </is>
      </c>
      <c r="B11" s="21" t="n">
        <v>1.5</v>
      </c>
      <c r="C11" s="21" t="n">
        <v>3.5</v>
      </c>
      <c r="D11" s="21" t="n">
        <v>7</v>
      </c>
      <c r="E11" s="21" t="n">
        <v>12</v>
      </c>
      <c r="F11" s="22">
        <f>B11*$F$4</f>
        <v/>
      </c>
      <c r="G11" s="22">
        <f>C11*$F$4</f>
        <v/>
      </c>
      <c r="H11" s="22">
        <f>D11*$F$4</f>
        <v/>
      </c>
      <c r="I11" s="22">
        <f>E11*$F$4</f>
        <v/>
      </c>
      <c r="J11" s="21" t="n">
        <v>2</v>
      </c>
      <c r="K11" s="21">
        <f>B11+$J11</f>
        <v/>
      </c>
      <c r="L11" s="21">
        <f>C11+$J11</f>
        <v/>
      </c>
      <c r="M11" s="21">
        <f>D11+$J11</f>
        <v/>
      </c>
      <c r="N11" s="21">
        <f>E11+$J11</f>
        <v/>
      </c>
    </row>
    <row r="12" ht="30" customHeight="1">
      <c r="A12" s="20" t="inlineStr">
        <is>
          <t>🎛️ Arquitectura de intervención
(estrategia de primer contacto, defaults, rediseño de momentos de decisión, sistemas de incentivos)</t>
        </is>
      </c>
      <c r="B12" s="21" t="n">
        <v>1.5</v>
      </c>
      <c r="C12" s="21" t="n">
        <v>4</v>
      </c>
      <c r="D12" s="21" t="n">
        <v>8</v>
      </c>
      <c r="E12" s="21" t="n">
        <v>15</v>
      </c>
      <c r="F12" s="22">
        <f>B12*$F$4</f>
        <v/>
      </c>
      <c r="G12" s="22">
        <f>C12*$F$4</f>
        <v/>
      </c>
      <c r="H12" s="22">
        <f>D12*$F$4</f>
        <v/>
      </c>
      <c r="I12" s="22">
        <f>E12*$F$4</f>
        <v/>
      </c>
      <c r="J12" s="21" t="n">
        <v>2</v>
      </c>
      <c r="K12" s="21">
        <f>B12+$J12</f>
        <v/>
      </c>
      <c r="L12" s="21">
        <f>C12+$J12</f>
        <v/>
      </c>
      <c r="M12" s="21">
        <f>D12+$J12</f>
        <v/>
      </c>
      <c r="N12" s="21">
        <f>E12+$J12</f>
        <v/>
      </c>
    </row>
    <row r="13" ht="30" customHeight="1">
      <c r="A13" s="20" t="inlineStr">
        <is>
          <t>🧪 Validación y experimentación
(sacrificial concepts, tests de concepto, pilotos, experimentos A/B con tracking)</t>
        </is>
      </c>
      <c r="B13" s="21" t="n">
        <v>3</v>
      </c>
      <c r="C13" s="21" t="n">
        <v>5</v>
      </c>
      <c r="D13" s="21" t="n">
        <v>10</v>
      </c>
      <c r="E13" s="21" t="n">
        <v>15</v>
      </c>
      <c r="F13" s="22">
        <f>B13*$F$4</f>
        <v/>
      </c>
      <c r="G13" s="22">
        <f>C13*$F$4</f>
        <v/>
      </c>
      <c r="H13" s="22">
        <f>D13*$F$4</f>
        <v/>
      </c>
      <c r="I13" s="22">
        <f>E13*$F$4</f>
        <v/>
      </c>
      <c r="J13" s="21" t="n">
        <v>2</v>
      </c>
      <c r="K13" s="21">
        <f>B13+$J13</f>
        <v/>
      </c>
      <c r="L13" s="21">
        <f>C13+$J13</f>
        <v/>
      </c>
      <c r="M13" s="21">
        <f>D13+$J13</f>
        <v/>
      </c>
      <c r="N13" s="21">
        <f>E13+$J13</f>
        <v/>
      </c>
    </row>
    <row r="14" ht="30" customHeight="1">
      <c r="A14" s="20" t="inlineStr">
        <is>
          <t>📚 Sistemas y frameworks
(playbooks, modelos de competencias/hábitos, bibliotecas de intervenciones, guidelines para otros equipos)</t>
        </is>
      </c>
      <c r="B14" s="21" t="n">
        <v>1.5</v>
      </c>
      <c r="C14" s="21" t="n">
        <v>5</v>
      </c>
      <c r="D14" s="21" t="n">
        <v>10</v>
      </c>
      <c r="E14" s="21" t="n">
        <v>15</v>
      </c>
      <c r="F14" s="22">
        <f>B14*$F$4</f>
        <v/>
      </c>
      <c r="G14" s="22">
        <f>C14*$F$4</f>
        <v/>
      </c>
      <c r="H14" s="22">
        <f>D14*$F$4</f>
        <v/>
      </c>
      <c r="I14" s="22">
        <f>E14*$F$4</f>
        <v/>
      </c>
      <c r="J14" s="21" t="n">
        <v>2</v>
      </c>
      <c r="K14" s="21">
        <f>B14+$J14</f>
        <v/>
      </c>
      <c r="L14" s="21">
        <f>C14+$J14</f>
        <v/>
      </c>
      <c r="M14" s="21">
        <f>D14+$J14</f>
        <v/>
      </c>
      <c r="N14" s="21">
        <f>E14+$J14</f>
        <v/>
      </c>
    </row>
    <row r="15" ht="30" customHeight="1">
      <c r="A15" s="20" t="inlineStr">
        <is>
          <t>🚀 Adopción y despliegue
(despliegues FFVV/UV, capacitaciones, campañas de adopción, seguimiento post-implementación)</t>
        </is>
      </c>
      <c r="B15" s="21" t="n">
        <v>1.5</v>
      </c>
      <c r="C15" s="21" t="n">
        <v>4</v>
      </c>
      <c r="D15" s="21" t="n">
        <v>8</v>
      </c>
      <c r="E15" s="21" t="n">
        <v>12</v>
      </c>
      <c r="F15" s="22">
        <f>B15*$F$4</f>
        <v/>
      </c>
      <c r="G15" s="22">
        <f>C15*$F$4</f>
        <v/>
      </c>
      <c r="H15" s="22">
        <f>D15*$F$4</f>
        <v/>
      </c>
      <c r="I15" s="22">
        <f>E15*$F$4</f>
        <v/>
      </c>
      <c r="J15" s="21" t="n">
        <v>2</v>
      </c>
      <c r="K15" s="21">
        <f>B15+$J15</f>
        <v/>
      </c>
      <c r="L15" s="21">
        <f>C15+$J15</f>
        <v/>
      </c>
      <c r="M15" s="21">
        <f>D15+$J15</f>
        <v/>
      </c>
      <c r="N15" s="21">
        <f>E15+$J15</f>
        <v/>
      </c>
    </row>
    <row r="16" ht="30" customHeight="1">
      <c r="A16" s="20" t="inlineStr">
        <is>
          <t>🤝 Consultoría a otros equipos
(agente AI App, Home) — se gestiona como SOPORTE, no como proyecto tallado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  <c r="O16" s="21" t="inlineStr">
        <is>
          <t>0.5–1h</t>
        </is>
      </c>
      <c r="P16" s="21" t="inlineStr">
        <is>
          <t>2–4h</t>
        </is>
      </c>
      <c r="Q16" s="21" t="inlineStr">
        <is>
          <t>1–2d</t>
        </is>
      </c>
    </row>
    <row r="17">
      <c r="A17" s="20" t="inlineStr">
        <is>
          <t>Soporte (desbloqueos, nuevos escenarios, QA conductual, deuda conductual)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/>
      <c r="O17" s="21" t="inlineStr">
        <is>
          <t>Ver hoja «ANS Soporte»</t>
        </is>
      </c>
      <c r="P17" s="2" t="n"/>
      <c r="Q17" s="3" t="n"/>
    </row>
    <row r="19" ht="45" customHeight="1">
      <c r="A19" s="8" t="inlineStr">
        <is>
          <t>📌 NOTAS: las categorías son cajones por FUNCIÓN (qué trabajo hace el entregable), no por artefacto — lo nuevo del futuro cae en un cajón existente sin rediseñar la tabla. No hay fila de «DÍAS TOTALES por talla»: un quest de BD normalmente es UNA función, no la suma secuencial de todas. Si un quest combina 2 funciones (p.ej. research + framework), talla cada una por separado y suma solo esas dos filas. El appetite se recalibra cada trimestre con beholder_tools.py retro, no por negociación en el kickoff.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3" t="n"/>
    </row>
  </sheetData>
  <mergeCells count="16">
    <mergeCell ref="A17:N17"/>
    <mergeCell ref="A7:A9"/>
    <mergeCell ref="G4:Q4"/>
    <mergeCell ref="A5:C5"/>
    <mergeCell ref="F7:I7"/>
    <mergeCell ref="J7:J9"/>
    <mergeCell ref="A16:N16"/>
    <mergeCell ref="A2:Q2"/>
    <mergeCell ref="B7:E7"/>
    <mergeCell ref="O7:Q7"/>
    <mergeCell ref="K7:N7"/>
    <mergeCell ref="O17:Q17"/>
    <mergeCell ref="D5:Q5"/>
    <mergeCell ref="A19:Q19"/>
    <mergeCell ref="A4:C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ANS Soporte · Behavioral Design</t>
        </is>
      </c>
      <c r="B1" s="2" t="n"/>
      <c r="C1" s="2" t="n"/>
      <c r="D1" s="2" t="n"/>
      <c r="E1" s="3" t="n"/>
    </row>
    <row r="2">
      <c r="A2" s="4" t="inlineStr">
        <is>
          <t>Las horas se pagan de la reserva de overhead del equipo (~8h/mes por persona, regla del Beholder). Si el soporte de un mes excede la bolsa, se convierte en quest con appetite propio (hoja anterior), no sigue como soporte.</t>
        </is>
      </c>
      <c r="B2" s="2" t="n"/>
      <c r="C2" s="2" t="n"/>
      <c r="D2" s="2" t="n"/>
      <c r="E2" s="3" t="n"/>
    </row>
    <row r="5">
      <c r="A5" s="5" t="inlineStr">
        <is>
          <t>Categoría de Soporte</t>
        </is>
      </c>
      <c r="B5" s="6" t="inlineStr">
        <is>
          <t>ANS Base (horas al 100%)</t>
        </is>
      </c>
      <c r="C5" s="2" t="n"/>
      <c r="D5" s="2" t="n"/>
      <c r="E5" s="3" t="n"/>
    </row>
    <row r="6">
      <c r="B6" s="6" t="inlineStr">
        <is>
          <t>XS</t>
        </is>
      </c>
      <c r="C6" s="6" t="inlineStr">
        <is>
          <t>S</t>
        </is>
      </c>
      <c r="D6" s="6" t="inlineStr">
        <is>
          <t>M</t>
        </is>
      </c>
      <c r="E6" s="6" t="inlineStr">
        <is>
          <t>L</t>
        </is>
      </c>
    </row>
    <row r="7" ht="30" customHeight="1">
      <c r="A7" s="20" t="inlineStr">
        <is>
          <t>Desbloqueos de implementación
(aclarar lógica de la intervención · ajustar copy conductual · confirmar variantes)</t>
        </is>
      </c>
      <c r="B7" s="21" t="n">
        <v>0.5</v>
      </c>
      <c r="C7" s="21" t="n">
        <v>1</v>
      </c>
      <c r="D7" s="21" t="n">
        <v>2</v>
      </c>
      <c r="E7" s="21" t="n">
        <v>3</v>
      </c>
    </row>
    <row r="8" ht="30" customHeight="1">
      <c r="A8" s="20" t="inlineStr">
        <is>
          <t>Nuevos escenarios
(adaptar intervención a segmentos o canales no contemplados)</t>
        </is>
      </c>
      <c r="B8" s="21" t="inlineStr">
        <is>
          <t>NA</t>
        </is>
      </c>
      <c r="C8" s="21" t="n">
        <v>1</v>
      </c>
      <c r="D8" s="21" t="n">
        <v>2</v>
      </c>
      <c r="E8" s="21" t="n">
        <v>6</v>
      </c>
    </row>
    <row r="9" ht="30" customHeight="1">
      <c r="A9" s="20" t="inlineStr">
        <is>
          <t>QA conductual
(auditoría de implementación vs. diseño del experimento: tracking, variantes, copy)</t>
        </is>
      </c>
      <c r="B9" s="21" t="n">
        <v>0.5</v>
      </c>
      <c r="C9" s="21" t="n">
        <v>1</v>
      </c>
      <c r="D9" s="21" t="n">
        <v>2</v>
      </c>
      <c r="E9" s="21" t="n">
        <v>4</v>
      </c>
    </row>
    <row r="10" ht="30" customHeight="1">
      <c r="A10" s="20" t="inlineStr">
        <is>
          <t>Deuda conductual
(iteraciones de intervenciones y experimentos de seguimiento)</t>
        </is>
      </c>
      <c r="B10" s="21" t="inlineStr">
        <is>
          <t>NA</t>
        </is>
      </c>
      <c r="C10" s="21" t="n">
        <v>2</v>
      </c>
      <c r="D10" s="21" t="n">
        <v>4</v>
      </c>
      <c r="E10" s="21" t="n">
        <v>8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2026-07-12T00:54:13Z</dcterms:created>
  <dcterms:modified xsi:type="dcterms:W3CDTF">2026-07-12T00:54:13Z</dcterms:modified>
</cp:coreProperties>
</file>