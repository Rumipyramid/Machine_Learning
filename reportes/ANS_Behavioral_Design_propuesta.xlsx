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000000"/>
      <sz val="10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F4B942"/>
      </patternFill>
    </fill>
    <fill>
      <patternFill patternType="solid">
        <fgColor rgb="FFC6EFCE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v2 (revisión experta)</t>
        </is>
      </c>
      <c r="B6" s="2" t="n"/>
      <c r="C6" s="3" t="n"/>
      <c r="D6" s="10" t="inlineStr">
        <is>
          <t>El feedback+VB ahora tiene columna propia por talla (antes se sumaba el valor de la talla L a las 4 tallas por igual): el driver «validación requerida» (§3.2) es justamente lo que hace crecer esa cifra en S→XL, así que debe escalar, no ser plano.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11" t="inlineStr">
        <is>
          <t>Monedas 🪙 equivalentes</t>
        </is>
      </c>
      <c r="G7" s="2" t="n"/>
      <c r="H7" s="2" t="n"/>
      <c r="I7" s="3" t="n"/>
      <c r="J7" s="6" t="inlineStr">
        <is>
          <t>Feedback + VB (días extra por talla)</t>
        </is>
      </c>
      <c r="K7" s="2" t="n"/>
      <c r="L7" s="2" t="n"/>
      <c r="M7" s="3" t="n"/>
      <c r="N7" s="12" t="inlineStr">
        <is>
          <t>Appetite total con feedback (días)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11" t="inlineStr">
        <is>
          <t>S</t>
        </is>
      </c>
      <c r="G8" s="11" t="inlineStr">
        <is>
          <t>M</t>
        </is>
      </c>
      <c r="H8" s="11" t="inlineStr">
        <is>
          <t>L</t>
        </is>
      </c>
      <c r="I8" s="11" t="inlineStr">
        <is>
          <t>XL</t>
        </is>
      </c>
      <c r="J8" s="6" t="inlineStr">
        <is>
          <t>S</t>
        </is>
      </c>
      <c r="K8" s="6" t="inlineStr">
        <is>
          <t>M</t>
        </is>
      </c>
      <c r="L8" s="6" t="inlineStr">
        <is>
          <t>L</t>
        </is>
      </c>
      <c r="M8" s="6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7" t="inlineStr">
        <is>
          <t>días × 0.72</t>
        </is>
      </c>
      <c r="G9" s="17" t="inlineStr">
        <is>
          <t>días × 0.72</t>
        </is>
      </c>
      <c r="H9" s="17" t="inlineStr">
        <is>
          <t>días × 0.72</t>
        </is>
      </c>
      <c r="I9" s="17" t="inlineStr">
        <is>
          <t>días × 0.72</t>
        </is>
      </c>
      <c r="J9" s="16" t="inlineStr">
        <is>
          <t>0–1d: sin gate, o 1 revisor rápido (&lt;48h)</t>
        </is>
      </c>
      <c r="K9" s="16" t="inlineStr">
        <is>
          <t>1–2d: feedback estándar de 1 stakeholder</t>
        </is>
      </c>
      <c r="L9" s="16" t="inlineStr">
        <is>
          <t>2d: 1 gate externo (comité o revisión formal)</t>
        </is>
      </c>
      <c r="M9" s="16" t="inlineStr">
        <is>
          <t>3d+: 2+ gates (legal, médico, comité)</t>
        </is>
      </c>
      <c r="N9" s="18" t="inlineStr">
        <is>
          <t>ANS Base + Feedback</t>
        </is>
      </c>
      <c r="O9" s="18" t="inlineStr">
        <is>
          <t>ANS Base + Feedback</t>
        </is>
      </c>
      <c r="P9" s="18" t="inlineStr">
        <is>
          <t>ANS Base + Feedback</t>
        </is>
      </c>
      <c r="Q9" s="18" t="inlineStr">
        <is>
          <t>ANS Base + Feedback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2">
        <f>B10*$F$4</f>
        <v/>
      </c>
      <c r="G10" s="22">
        <f>C10*$F$4</f>
        <v/>
      </c>
      <c r="H10" s="22">
        <f>D10*$F$4</f>
        <v/>
      </c>
      <c r="I10" s="22">
        <f>E10*$F$4</f>
        <v/>
      </c>
      <c r="J10" s="21" t="n">
        <v>0</v>
      </c>
      <c r="K10" s="21" t="n">
        <v>1</v>
      </c>
      <c r="L10" s="21" t="n">
        <v>2</v>
      </c>
      <c r="M10" s="21" t="n">
        <v>3</v>
      </c>
      <c r="N10" s="21">
        <f>B10+J10</f>
        <v/>
      </c>
      <c r="O10" s="21">
        <f>C10+K10</f>
        <v/>
      </c>
      <c r="P10" s="21">
        <f>D10+L10</f>
        <v/>
      </c>
      <c r="Q10" s="21">
        <f>E10+M10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2">
        <f>B11*$F$4</f>
        <v/>
      </c>
      <c r="G11" s="22">
        <f>C11*$F$4</f>
        <v/>
      </c>
      <c r="H11" s="22">
        <f>D11*$F$4</f>
        <v/>
      </c>
      <c r="I11" s="22">
        <f>E11*$F$4</f>
        <v/>
      </c>
      <c r="J11" s="21" t="n">
        <v>0</v>
      </c>
      <c r="K11" s="21" t="n">
        <v>1</v>
      </c>
      <c r="L11" s="21" t="n">
        <v>2</v>
      </c>
      <c r="M11" s="21" t="n">
        <v>3</v>
      </c>
      <c r="N11" s="21">
        <f>B11+J11</f>
        <v/>
      </c>
      <c r="O11" s="21">
        <f>C11+K11</f>
        <v/>
      </c>
      <c r="P11" s="21">
        <f>D11+L11</f>
        <v/>
      </c>
      <c r="Q11" s="21">
        <f>E11+M11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2">
        <f>B12*$F$4</f>
        <v/>
      </c>
      <c r="G12" s="22">
        <f>C12*$F$4</f>
        <v/>
      </c>
      <c r="H12" s="22">
        <f>D12*$F$4</f>
        <v/>
      </c>
      <c r="I12" s="22">
        <f>E12*$F$4</f>
        <v/>
      </c>
      <c r="J12" s="21" t="n">
        <v>1</v>
      </c>
      <c r="K12" s="21" t="n">
        <v>1</v>
      </c>
      <c r="L12" s="21" t="n">
        <v>2</v>
      </c>
      <c r="M12" s="21" t="n">
        <v>3</v>
      </c>
      <c r="N12" s="21">
        <f>B12+J12</f>
        <v/>
      </c>
      <c r="O12" s="21">
        <f>C12+K12</f>
        <v/>
      </c>
      <c r="P12" s="21">
        <f>D12+L12</f>
        <v/>
      </c>
      <c r="Q12" s="21">
        <f>E12+M12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2">
        <f>B13*$F$4</f>
        <v/>
      </c>
      <c r="G13" s="22">
        <f>C13*$F$4</f>
        <v/>
      </c>
      <c r="H13" s="22">
        <f>D13*$F$4</f>
        <v/>
      </c>
      <c r="I13" s="22">
        <f>E13*$F$4</f>
        <v/>
      </c>
      <c r="J13" s="21" t="n">
        <v>0</v>
      </c>
      <c r="K13" s="21" t="n">
        <v>2</v>
      </c>
      <c r="L13" s="21" t="n">
        <v>2</v>
      </c>
      <c r="M13" s="21" t="n">
        <v>3</v>
      </c>
      <c r="N13" s="21">
        <f>B13+J13</f>
        <v/>
      </c>
      <c r="O13" s="21">
        <f>C13+K13</f>
        <v/>
      </c>
      <c r="P13" s="21">
        <f>D13+L13</f>
        <v/>
      </c>
      <c r="Q13" s="21">
        <f>E13+M13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2">
        <f>B14*$F$4</f>
        <v/>
      </c>
      <c r="G14" s="22">
        <f>C14*$F$4</f>
        <v/>
      </c>
      <c r="H14" s="22">
        <f>D14*$F$4</f>
        <v/>
      </c>
      <c r="I14" s="22">
        <f>E14*$F$4</f>
        <v/>
      </c>
      <c r="J14" s="21" t="n">
        <v>0</v>
      </c>
      <c r="K14" s="21" t="n">
        <v>1</v>
      </c>
      <c r="L14" s="21" t="n">
        <v>2</v>
      </c>
      <c r="M14" s="21" t="n">
        <v>3</v>
      </c>
      <c r="N14" s="21">
        <f>B14+J14</f>
        <v/>
      </c>
      <c r="O14" s="21">
        <f>C14+K14</f>
        <v/>
      </c>
      <c r="P14" s="21">
        <f>D14+L14</f>
        <v/>
      </c>
      <c r="Q14" s="21">
        <f>E14+M14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2">
        <f>B15*$F$4</f>
        <v/>
      </c>
      <c r="G15" s="22">
        <f>C15*$F$4</f>
        <v/>
      </c>
      <c r="H15" s="22">
        <f>D15*$F$4</f>
        <v/>
      </c>
      <c r="I15" s="22">
        <f>E15*$F$4</f>
        <v/>
      </c>
      <c r="J15" s="21" t="n">
        <v>0</v>
      </c>
      <c r="K15" s="21" t="n">
        <v>1</v>
      </c>
      <c r="L15" s="21" t="n">
        <v>2</v>
      </c>
      <c r="M15" s="21" t="n">
        <v>3</v>
      </c>
      <c r="N15" s="21">
        <f>B15+J15</f>
        <v/>
      </c>
      <c r="O15" s="21">
        <f>C15+K15</f>
        <v/>
      </c>
      <c r="P15" s="21">
        <f>D15+L15</f>
        <v/>
      </c>
      <c r="Q15" s="21">
        <f>E15+M15</f>
        <v/>
      </c>
    </row>
    <row r="16" ht="30" customHeight="1">
      <c r="A16" s="20" t="inlineStr">
        <is>
          <t>🤝 Consultoría a otros equipos
(agente AI App, Home) — se gestiona como SOPORTE, no como proyecto tallado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3" t="n"/>
      <c r="R16" s="21" t="inlineStr">
        <is>
          <t>0.5–1h</t>
        </is>
      </c>
      <c r="S16" s="21" t="inlineStr">
        <is>
          <t>2–4h</t>
        </is>
      </c>
      <c r="T16" s="21" t="inlineStr">
        <is>
          <t>1–2d</t>
        </is>
      </c>
    </row>
    <row r="17">
      <c r="A17" s="20" t="inlineStr">
        <is>
          <t>Soporte (desbloqueos, nuevos escenarios, QA conductual, deuda conductual)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3" t="n"/>
      <c r="R17" s="21" t="inlineStr">
        <is>
          <t>Ver hoja «ANS Soporte»</t>
        </is>
      </c>
      <c r="S17" s="2" t="n"/>
      <c r="T17" s="3" t="n"/>
    </row>
    <row r="19" ht="45" customHeight="1">
      <c r="A19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3" t="n"/>
    </row>
  </sheetData>
  <mergeCells count="18">
    <mergeCell ref="A1:T1"/>
    <mergeCell ref="A17:Q17"/>
    <mergeCell ref="A7:A9"/>
    <mergeCell ref="A5:C5"/>
    <mergeCell ref="F7:I7"/>
    <mergeCell ref="G4:T4"/>
    <mergeCell ref="R7:T7"/>
    <mergeCell ref="A6:C6"/>
    <mergeCell ref="D6:T6"/>
    <mergeCell ref="R17:T17"/>
    <mergeCell ref="N7:Q7"/>
    <mergeCell ref="B7:E7"/>
    <mergeCell ref="A16:Q16"/>
    <mergeCell ref="A2:T2"/>
    <mergeCell ref="A4:C4"/>
    <mergeCell ref="D5:T5"/>
    <mergeCell ref="A19:T19"/>
    <mergeCell ref="J7:M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—con su clave del tablero (Q-n) para trazabilidad—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25" customHeight="1">
      <c r="A6" s="23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Q-6: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Q-21 (Evolution+ Cobranzas): mapear barreras y motivaciones de un perfil de pagador B2B con entrevistas a analistas de cuentas por cobrar, no solo desk research. Mismo tier: Q-48, cruzar data de renovación + siniestros para el modelo de retención en salud con Edu Rebata (Alejandro) — el riesgo es el acceso cross-área, no el análisis (se mide como Lead time, no Reloj BD).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(Q-38) (futuro).</t>
        </is>
      </c>
    </row>
    <row r="7" ht="125" customHeight="1">
      <c r="A7" s="23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Q-16: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Q-10: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25" customHeight="1">
      <c r="A8" s="23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Q-9: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Q-38: diseño To Be del Ecosistema de entendimiento y uso eficiente de seguros EPS, con touchpoints a lo largo de todo el journey del asegurado.</t>
        </is>
      </c>
    </row>
    <row r="9" ht="125" customHeight="1">
      <c r="A9" s="23" t="inlineStr">
        <is>
          <t>🧪 Validación y experimentación</t>
        </is>
      </c>
      <c r="B9" s="8" t="inlineStr">
        <is>
          <t>Test guerrilla / sacrificial concepts — Q-8: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Q-26/Q-27: plan de testeo + artefactos tangibles de Vivo Pack, con hipótesis de comprensión y disposición a pagar.</t>
        </is>
      </c>
      <c r="D9" s="8" t="inlineStr">
        <is>
          <t>Experimento A/B con tracking — Q-23/Q-24: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25" customHeight="1">
      <c r="A10" s="23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Q-30: playbook del servicio Bienestar 360, codificando el modelo de cambio de hábitos del programa para hacerlo replicable.</t>
        </is>
      </c>
      <c r="D10" s="8" t="inlineStr">
        <is>
          <t>Playbook o modelo completo con validación — Q-5: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Q-39: modelo de entendimiento y uso eficiente de seguros del Chapter, con métricas propias y gobierno de actualización entre proyectos. Mismo tier: inputs conductuales para que CX (journey), mkt (pauta), guías y App construyan sus propias piezas del Ecosistema EPS (futuro, ligado a Q-38) — el framework se talla aquí; alinear a los 4 equipos dueños se talla aparte en 🤝 Consultoría (regla de encaje).</t>
        </is>
      </c>
    </row>
    <row r="11" ht="125" customHeight="1">
      <c r="A11" s="23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Q-14: despliegue del playbook de storytelling con la cohorte de asesores de FFVV stock.</t>
        </is>
      </c>
      <c r="D11" s="8" t="inlineStr">
        <is>
          <t>Multi-cohorte con campeones y refuerzos — Q-15: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(futuro, ligado a Q-38).</t>
        </is>
      </c>
    </row>
    <row r="12" ht="45" customHeight="1">
      <c r="A12" s="23" t="inlineStr">
        <is>
          <t>🤝 Consultoría a otros equipos</t>
        </is>
      </c>
      <c r="B12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 Caso real de escala: alinear a 4 equipos dueños (CX, mkt, guías, App) del Ecosistema EPS son 4 revisiones de 2–4h, no 1 — avisar si esto se come la bolsa mensual de ~8h/persona (§3.3).</t>
        </is>
      </c>
      <c r="C12" s="2" t="n"/>
      <c r="D12" s="2" t="n"/>
      <c r="E12" s="3" t="n"/>
    </row>
    <row r="14" ht="55" customHeight="1">
      <c r="A14" s="8" t="inlineStr">
        <is>
          <t>📌 Cómo leer esta hoja: los ejemplos «futuro» son hipotéticos —trabajo que cabe en la categoría aunque el equipo no lo haya hecho todavía— y sirven para probar que el cajón por función no se rompe con lo nuevo. Los marcados con Q-n ya ocurrieron y están en TABLERO_BEHOLDER.md; úsalos como ancla de calibración en la retro trimestral (reference-class forecasting, F-31) en vez de discutir la talla desde cero cada vez.</t>
        </is>
      </c>
      <c r="B14" s="2" t="n"/>
      <c r="C14" s="2" t="n"/>
      <c r="D14" s="2" t="n"/>
      <c r="E14" s="3" t="n"/>
    </row>
  </sheetData>
  <mergeCells count="6">
    <mergeCell ref="B4:E4"/>
    <mergeCell ref="A2:E2"/>
    <mergeCell ref="A4:A5"/>
    <mergeCell ref="B12:E12"/>
    <mergeCell ref="A1:E1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2026-07-13T03:59:39Z</dcterms:created>
  <dcterms:modified xsi:type="dcterms:W3CDTF">2026-07-13T03:59:39Z</dcterms:modified>
</cp:coreProperties>
</file>