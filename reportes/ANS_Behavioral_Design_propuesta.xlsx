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NS Behavioral Design" sheetId="1" state="visible" r:id="rId1"/>
    <sheet name="Ejemplos de Tallaje" sheetId="2" state="visible" r:id="rId2"/>
    <sheet name="ANS Soporte BD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17">
    <font>
      <name val="Calibri"/>
      <family val="2"/>
      <color theme="1"/>
      <sz val="11"/>
      <scheme val="minor"/>
    </font>
    <font>
      <b val="1"/>
      <color rgb="FFFFFFFF"/>
      <sz val="13"/>
    </font>
    <font>
      <color rgb="FF1F4E79"/>
      <sz val="10"/>
    </font>
    <font>
      <b val="1"/>
      <color rgb="FFFFFFFF"/>
      <sz val="11"/>
    </font>
    <font>
      <b val="1"/>
      <color rgb="FF000000"/>
      <sz val="11"/>
    </font>
    <font>
      <color rgb="FF000000"/>
      <sz val="9"/>
    </font>
    <font>
      <b val="1"/>
      <color rgb="FF375623"/>
      <sz val="11"/>
    </font>
    <font>
      <b val="1"/>
      <color rgb="FF7030A0"/>
      <sz val="11"/>
    </font>
    <font>
      <color rgb="FF000000"/>
      <sz val="8"/>
    </font>
    <font>
      <color rgb="FF375623"/>
      <sz val="9"/>
    </font>
    <font>
      <color rgb="FF7030A0"/>
      <sz val="9"/>
    </font>
    <font>
      <color rgb="FF000000"/>
      <sz val="10"/>
    </font>
    <font>
      <color rgb="FF000000"/>
      <sz val="11"/>
    </font>
    <font>
      <b val="1"/>
      <color rgb="FF1F4E79"/>
      <sz val="10"/>
    </font>
    <font>
      <b val="1"/>
      <color rgb="FF000000"/>
      <sz val="9"/>
    </font>
    <font>
      <b val="1"/>
      <color rgb="FF000000"/>
      <sz val="10"/>
    </font>
    <font>
      <b val="1"/>
      <color rgb="FF1F4E79"/>
      <sz val="9"/>
    </font>
  </fonts>
  <fills count="10">
    <fill>
      <patternFill/>
    </fill>
    <fill>
      <patternFill patternType="gray125"/>
    </fill>
    <fill>
      <patternFill patternType="solid">
        <fgColor rgb="FF1F4E79"/>
      </patternFill>
    </fill>
    <fill>
      <patternFill patternType="solid">
        <fgColor rgb="FFDEEAF1"/>
      </patternFill>
    </fill>
    <fill>
      <patternFill patternType="solid">
        <fgColor rgb="FFBDD7EE"/>
      </patternFill>
    </fill>
    <fill>
      <patternFill patternType="solid">
        <fgColor rgb="FFFFFF00"/>
      </patternFill>
    </fill>
    <fill>
      <patternFill patternType="solid">
        <fgColor rgb="FFFCE4D6"/>
      </patternFill>
    </fill>
    <fill>
      <patternFill patternType="solid">
        <fgColor rgb="FFF4B942"/>
      </patternFill>
    </fill>
    <fill>
      <patternFill patternType="solid">
        <fgColor rgb="FFC6EFCE"/>
      </patternFill>
    </fill>
    <fill>
      <patternFill patternType="solid">
        <fgColor rgb="FFEBD1FF"/>
      </patternFill>
    </fill>
  </fills>
  <borders count="9">
    <border>
      <left/>
      <right/>
      <top/>
      <bottom/>
      <diagonal/>
    </border>
    <border>
      <left style="thin">
        <color rgb="00B7B7B7"/>
      </left>
      <right style="thin">
        <color rgb="00B7B7B7"/>
      </right>
      <top style="thin">
        <color rgb="00B7B7B7"/>
      </top>
      <bottom style="thin">
        <color rgb="00B7B7B7"/>
      </bottom>
    </border>
    <border>
      <left/>
      <right/>
      <top style="thin">
        <color rgb="00B7B7B7"/>
      </top>
      <bottom/>
      <diagonal/>
    </border>
    <border>
      <left/>
      <right style="thin">
        <color rgb="00B7B7B7"/>
      </right>
      <top style="thin">
        <color rgb="00B7B7B7"/>
      </top>
      <bottom/>
      <diagonal/>
    </border>
    <border>
      <left/>
      <right/>
      <top style="thin">
        <color rgb="00B7B7B7"/>
      </top>
      <bottom style="thin">
        <color rgb="00B7B7B7"/>
      </bottom>
      <diagonal/>
    </border>
    <border>
      <left/>
      <right style="thin">
        <color rgb="00B7B7B7"/>
      </right>
      <top style="thin">
        <color rgb="00B7B7B7"/>
      </top>
      <bottom style="thin">
        <color rgb="00B7B7B7"/>
      </bottom>
      <diagonal/>
    </border>
    <border>
      <left style="thin">
        <color rgb="00B7B7B7"/>
      </left>
      <right/>
      <top/>
      <bottom/>
      <diagonal/>
    </border>
    <border>
      <left style="thin">
        <color rgb="00B7B7B7"/>
      </left>
      <right style="thin">
        <color rgb="00B7B7B7"/>
      </right>
      <top/>
      <bottom/>
      <diagonal/>
    </border>
    <border>
      <left style="thin">
        <color rgb="00B7B7B7"/>
      </left>
      <right style="thin">
        <color rgb="00B7B7B7"/>
      </right>
      <top/>
      <bottom style="thin">
        <color rgb="00B7B7B7"/>
      </bottom>
      <diagonal/>
    </border>
  </borders>
  <cellStyleXfs count="1">
    <xf numFmtId="0" fontId="0" fillId="0" borderId="0"/>
  </cellStyleXfs>
  <cellXfs count="28">
    <xf numFmtId="0" fontId="0" fillId="0" borderId="0" pivotButton="0" quotePrefix="0" xfId="0"/>
    <xf numFmtId="0" fontId="1" fillId="2" borderId="1" applyAlignment="1" pivotButton="0" quotePrefix="0" xfId="0">
      <alignment horizontal="left" vertical="center" wrapText="1"/>
    </xf>
    <xf numFmtId="0" fontId="0" fillId="0" borderId="4" pivotButton="0" quotePrefix="0" xfId="0"/>
    <xf numFmtId="0" fontId="0" fillId="0" borderId="5" pivotButton="0" quotePrefix="0" xfId="0"/>
    <xf numFmtId="0" fontId="2" fillId="3" borderId="1" applyAlignment="1" pivotButton="0" quotePrefix="0" xfId="0">
      <alignment horizontal="left" vertical="center" wrapText="1"/>
    </xf>
    <xf numFmtId="0" fontId="3" fillId="2" borderId="1" applyAlignment="1" pivotButton="0" quotePrefix="0" xfId="0">
      <alignment horizontal="left" vertical="center" wrapText="1"/>
    </xf>
    <xf numFmtId="0" fontId="4" fillId="4" borderId="1" applyAlignment="1" pivotButton="0" quotePrefix="0" xfId="0">
      <alignment horizontal="center" vertical="center" wrapText="1"/>
    </xf>
    <xf numFmtId="0" fontId="4" fillId="5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left" vertical="center" wrapText="1"/>
    </xf>
    <xf numFmtId="0" fontId="4" fillId="4" borderId="1" applyAlignment="1" pivotButton="0" quotePrefix="0" xfId="0">
      <alignment horizontal="left" vertical="center" wrapText="1"/>
    </xf>
    <xf numFmtId="0" fontId="5" fillId="6" borderId="1" applyAlignment="1" pivotButton="0" quotePrefix="0" xfId="0">
      <alignment horizontal="left" vertical="center" wrapText="1"/>
    </xf>
    <xf numFmtId="0" fontId="4" fillId="7" borderId="1" applyAlignment="1" pivotButton="0" quotePrefix="0" xfId="0">
      <alignment horizontal="center" vertical="center" wrapText="1"/>
    </xf>
    <xf numFmtId="0" fontId="6" fillId="8" borderId="1" applyAlignment="1" pivotButton="0" quotePrefix="0" xfId="0">
      <alignment horizontal="center" vertical="center" wrapText="1"/>
    </xf>
    <xf numFmtId="0" fontId="7" fillId="9" borderId="1" applyAlignment="1" pivotButton="0" quotePrefix="0" xfId="0">
      <alignment horizontal="center" vertical="center" wrapText="1"/>
    </xf>
    <xf numFmtId="0" fontId="0" fillId="0" borderId="7" pivotButton="0" quotePrefix="0" xfId="0"/>
    <xf numFmtId="0" fontId="0" fillId="0" borderId="8" pivotButton="0" quotePrefix="0" xfId="0"/>
    <xf numFmtId="0" fontId="8" fillId="4" borderId="1" applyAlignment="1" pivotButton="0" quotePrefix="0" xfId="0">
      <alignment horizontal="center" vertical="center" wrapText="1"/>
    </xf>
    <xf numFmtId="0" fontId="5" fillId="7" borderId="1" applyAlignment="1" pivotButton="0" quotePrefix="0" xfId="0">
      <alignment horizontal="center" vertical="center" wrapText="1"/>
    </xf>
    <xf numFmtId="0" fontId="9" fillId="8" borderId="1" applyAlignment="1" pivotButton="0" quotePrefix="0" xfId="0">
      <alignment horizontal="center" vertical="center" wrapText="1"/>
    </xf>
    <xf numFmtId="0" fontId="10" fillId="9" borderId="1" applyAlignment="1" pivotButton="0" quotePrefix="0" xfId="0">
      <alignment horizontal="center" vertical="center" wrapText="1"/>
    </xf>
    <xf numFmtId="0" fontId="11" fillId="0" borderId="1" applyAlignment="1" pivotButton="0" quotePrefix="0" xfId="0">
      <alignment horizontal="left" vertical="center" wrapText="1"/>
    </xf>
    <xf numFmtId="0" fontId="12" fillId="0" borderId="1" applyAlignment="1" pivotButton="0" quotePrefix="0" xfId="0">
      <alignment horizontal="center" vertical="center" wrapText="1"/>
    </xf>
    <xf numFmtId="164" fontId="12" fillId="0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 vertical="center" wrapText="1"/>
    </xf>
    <xf numFmtId="0" fontId="14" fillId="7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center" vertical="center" wrapText="1"/>
    </xf>
    <xf numFmtId="0" fontId="15" fillId="0" borderId="1" applyAlignment="1" pivotButton="0" quotePrefix="0" xfId="0">
      <alignment horizontal="left" vertical="center" wrapText="1"/>
    </xf>
    <xf numFmtId="0" fontId="16" fillId="6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22"/>
  <sheetViews>
    <sheetView workbookViewId="0">
      <pane xSplit="1" ySplit="9" topLeftCell="B10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9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11" customWidth="1" min="18" max="18"/>
    <col width="11" customWidth="1" min="19" max="19"/>
    <col width="11" customWidth="1" min="20" max="20"/>
  </cols>
  <sheetData>
    <row r="1">
      <c r="A1" s="1" t="inlineStr">
        <is>
          <t>ANS + Appetite de Tareas — Behavioral Design (propuesta del equipo)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3" t="n"/>
    </row>
    <row r="2">
      <c r="A2" s="4" t="inlineStr">
        <is>
          <t>Tallaje por TIPO DE ENTREGABLE (no por etapa de un pipeline fijo). Los días son un appetite —presupuesto que el equipo decide invertir y calibra con su propio historial (retro trimestral)— no un estimado derivado de descomponer tareas. Ver reportes/ans_behavioral_design.md para el respaldo (/trinidad) y el detalle completo; ejemplos concretos por talla en la hoja «Ejemplos de Tallaje».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3" t="n"/>
    </row>
    <row r="4">
      <c r="A4" s="5" t="inlineStr">
        <is>
          <t>⚙️  PARÁMETRO DE CONVERSIÓN</t>
        </is>
      </c>
      <c r="B4" s="2" t="n"/>
      <c r="C4" s="3" t="n"/>
      <c r="D4" s="6" t="inlineStr">
        <is>
          <t>Monedas 🪙 por día efectivo</t>
        </is>
      </c>
      <c r="F4" s="7" t="inlineStr">
        <is>
          <t>0.72</t>
        </is>
      </c>
      <c r="G4" s="8" t="inlineStr">
        <is>
          <t>← ratio medio REAL calibrado con la retro del tablero (no el 0.67 supuesto inicial de 1🪙≈1.5d) — reference-class forecasting (F-31); recalibrar cada trimestre con beholder_tools.py retro</t>
        </is>
      </c>
      <c r="H4" s="2" t="n"/>
      <c r="I4" s="2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3" t="n"/>
    </row>
    <row r="5">
      <c r="A5" s="9" t="inlineStr">
        <is>
          <t>⚠️ Sin factor de asignación lineal</t>
        </is>
      </c>
      <c r="B5" s="2" t="n"/>
      <c r="C5" s="3" t="n"/>
      <c r="D5" s="10" t="inlineStr">
        <is>
          <t>La capacidad real se valida en el libro mayor de monedas del Beholder (≤8 🪙 simultáneas por persona), no multiplicando días por 1/%asignación.</t>
        </is>
      </c>
      <c r="E5" s="2" t="n"/>
      <c r="F5" s="2" t="n"/>
      <c r="G5" s="2" t="n"/>
      <c r="H5" s="2" t="n"/>
      <c r="I5" s="2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3" t="n"/>
    </row>
    <row r="6">
      <c r="A6" s="9" t="inlineStr">
        <is>
          <t>🔧 Ajuste v2 (revisión experta)</t>
        </is>
      </c>
      <c r="B6" s="2" t="n"/>
      <c r="C6" s="3" t="n"/>
      <c r="D6" s="10" t="inlineStr">
        <is>
          <t>El feedback+VB ahora tiene columna propia por talla (antes se sumaba el valor de la talla L a las 4 tallas por igual): el driver «validación requerida» (§3.2) es justamente lo que hace crecer esa cifra en S→XL, así que debe escalar, no ser plano.</t>
        </is>
      </c>
      <c r="E6" s="2" t="n"/>
      <c r="F6" s="2" t="n"/>
      <c r="G6" s="2" t="n"/>
      <c r="H6" s="2" t="n"/>
      <c r="I6" s="2" t="n"/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3" t="n"/>
    </row>
    <row r="7">
      <c r="A7" s="5" t="inlineStr">
        <is>
          <t>Entrega Behavioral Design (por tipo de entregable)</t>
        </is>
      </c>
      <c r="B7" s="6" t="inlineStr">
        <is>
          <t>Appetite — ANS Base (días efectivos)</t>
        </is>
      </c>
      <c r="C7" s="2" t="n"/>
      <c r="D7" s="2" t="n"/>
      <c r="E7" s="3" t="n"/>
      <c r="F7" s="11" t="inlineStr">
        <is>
          <t>Monedas 🪙 equivalentes</t>
        </is>
      </c>
      <c r="G7" s="2" t="n"/>
      <c r="H7" s="2" t="n"/>
      <c r="I7" s="3" t="n"/>
      <c r="J7" s="6" t="inlineStr">
        <is>
          <t>Feedback + VB (días extra por talla)</t>
        </is>
      </c>
      <c r="K7" s="2" t="n"/>
      <c r="L7" s="2" t="n"/>
      <c r="M7" s="3" t="n"/>
      <c r="N7" s="12" t="inlineStr">
        <is>
          <t>Appetite total con feedback (días)</t>
        </is>
      </c>
      <c r="O7" s="2" t="n"/>
      <c r="P7" s="2" t="n"/>
      <c r="Q7" s="3" t="n"/>
      <c r="R7" s="13" t="inlineStr">
        <is>
          <t>Referencia rápida
(no requiere quest, va como soporte)</t>
        </is>
      </c>
      <c r="S7" s="2" t="n"/>
      <c r="T7" s="3" t="n"/>
    </row>
    <row r="8">
      <c r="A8" s="14" t="n"/>
      <c r="B8" s="6" t="inlineStr">
        <is>
          <t>S</t>
        </is>
      </c>
      <c r="C8" s="6" t="inlineStr">
        <is>
          <t>M</t>
        </is>
      </c>
      <c r="D8" s="6" t="inlineStr">
        <is>
          <t>L</t>
        </is>
      </c>
      <c r="E8" s="6" t="inlineStr">
        <is>
          <t>XL</t>
        </is>
      </c>
      <c r="F8" s="11" t="inlineStr">
        <is>
          <t>S</t>
        </is>
      </c>
      <c r="G8" s="11" t="inlineStr">
        <is>
          <t>M</t>
        </is>
      </c>
      <c r="H8" s="11" t="inlineStr">
        <is>
          <t>L</t>
        </is>
      </c>
      <c r="I8" s="11" t="inlineStr">
        <is>
          <t>XL</t>
        </is>
      </c>
      <c r="J8" s="6" t="inlineStr">
        <is>
          <t>S</t>
        </is>
      </c>
      <c r="K8" s="6" t="inlineStr">
        <is>
          <t>M</t>
        </is>
      </c>
      <c r="L8" s="6" t="inlineStr">
        <is>
          <t>L</t>
        </is>
      </c>
      <c r="M8" s="6" t="inlineStr">
        <is>
          <t>XL</t>
        </is>
      </c>
      <c r="N8" s="12" t="inlineStr">
        <is>
          <t>S</t>
        </is>
      </c>
      <c r="O8" s="12" t="inlineStr">
        <is>
          <t>M</t>
        </is>
      </c>
      <c r="P8" s="12" t="inlineStr">
        <is>
          <t>L</t>
        </is>
      </c>
      <c r="Q8" s="12" t="inlineStr">
        <is>
          <t>XL</t>
        </is>
      </c>
      <c r="R8" s="13" t="inlineStr">
        <is>
          <t>Sesión</t>
        </is>
      </c>
      <c r="S8" s="13" t="inlineStr">
        <is>
          <t>Revisión</t>
        </is>
      </c>
      <c r="T8" s="13" t="inlineStr">
        <is>
          <t>Co-diseño</t>
        </is>
      </c>
    </row>
    <row r="9" ht="55" customHeight="1">
      <c r="A9" s="15" t="n"/>
      <c r="B9" s="16" t="inlineStr">
        <is>
          <t>Ajustar algo que ya existe (se reusa una plantilla o patrón del equipo)</t>
        </is>
      </c>
      <c r="C9" s="16" t="inlineStr">
        <is>
          <t>Crear algo nuevo, pero acotado: 1 producto, 1 canal o 1 bloque</t>
        </is>
      </c>
      <c r="D9" s="16" t="inlineStr">
        <is>
          <t>Alcance amplio: varios productos/touchpoints, o pasa por gate externo (legal/médico)</t>
        </is>
      </c>
      <c r="E9" s="16" t="inlineStr">
        <is>
          <t>Programa completo de punta a punta, multicanal (p. ej. ecosistema de entendimiento)</t>
        </is>
      </c>
      <c r="F9" s="17" t="inlineStr">
        <is>
          <t>días × 0.72</t>
        </is>
      </c>
      <c r="G9" s="17" t="inlineStr">
        <is>
          <t>días × 0.72</t>
        </is>
      </c>
      <c r="H9" s="17" t="inlineStr">
        <is>
          <t>días × 0.72</t>
        </is>
      </c>
      <c r="I9" s="17" t="inlineStr">
        <is>
          <t>días × 0.72</t>
        </is>
      </c>
      <c r="J9" s="16" t="inlineStr">
        <is>
          <t>0–1d: sin gate, o 1 revisor rápido (&lt;48h)</t>
        </is>
      </c>
      <c r="K9" s="16" t="inlineStr">
        <is>
          <t>1–2d: feedback estándar de 1 stakeholder</t>
        </is>
      </c>
      <c r="L9" s="16" t="inlineStr">
        <is>
          <t>2d: 1 gate externo (comité o revisión formal)</t>
        </is>
      </c>
      <c r="M9" s="16" t="inlineStr">
        <is>
          <t>3d+: 2+ gates (legal, médico, comité)</t>
        </is>
      </c>
      <c r="N9" s="18" t="inlineStr">
        <is>
          <t>ANS Base + Feedback</t>
        </is>
      </c>
      <c r="O9" s="18" t="inlineStr">
        <is>
          <t>ANS Base + Feedback</t>
        </is>
      </c>
      <c r="P9" s="18" t="inlineStr">
        <is>
          <t>ANS Base + Feedback</t>
        </is>
      </c>
      <c r="Q9" s="18" t="inlineStr">
        <is>
          <t>ANS Base + Feedback</t>
        </is>
      </c>
      <c r="R9" s="19" t="inlineStr">
        <is>
          <t>0.5–1h</t>
        </is>
      </c>
      <c r="S9" s="19" t="inlineStr">
        <is>
          <t>2–4h</t>
        </is>
      </c>
      <c r="T9" s="19" t="inlineStr">
        <is>
          <t>1–2d</t>
        </is>
      </c>
    </row>
    <row r="10" ht="30" customHeight="1">
      <c r="A10" s="20" t="inlineStr">
        <is>
          <t>🔍 Evidencia y diagnóstico
(desk research, bench, behavioral journey, diagnóstico de barreras, análisis de data conductual)</t>
        </is>
      </c>
      <c r="B10" s="21" t="n">
        <v>2</v>
      </c>
      <c r="C10" s="21" t="n">
        <v>4</v>
      </c>
      <c r="D10" s="21" t="n">
        <v>8</v>
      </c>
      <c r="E10" s="21" t="n">
        <v>12</v>
      </c>
      <c r="F10" s="22">
        <f>B10*$F$4</f>
        <v/>
      </c>
      <c r="G10" s="22">
        <f>C10*$F$4</f>
        <v/>
      </c>
      <c r="H10" s="22">
        <f>D10*$F$4</f>
        <v/>
      </c>
      <c r="I10" s="22">
        <f>E10*$F$4</f>
        <v/>
      </c>
      <c r="J10" s="21" t="n">
        <v>0</v>
      </c>
      <c r="K10" s="21" t="n">
        <v>1</v>
      </c>
      <c r="L10" s="21" t="n">
        <v>2</v>
      </c>
      <c r="M10" s="21" t="n">
        <v>3</v>
      </c>
      <c r="N10" s="21">
        <f>B10+J10</f>
        <v/>
      </c>
      <c r="O10" s="21">
        <f>C10+K10</f>
        <v/>
      </c>
      <c r="P10" s="21">
        <f>D10+L10</f>
        <v/>
      </c>
      <c r="Q10" s="21">
        <f>E10+M10</f>
        <v/>
      </c>
    </row>
    <row r="11" ht="30" customHeight="1">
      <c r="A11" s="20" t="inlineStr">
        <is>
          <t>📣 Comunicación conductual
(guías resumidas, flyers, cartas, plantillas de mensaje para asesores, guías de comunicación con speeches, journeys, notificaciones)</t>
        </is>
      </c>
      <c r="B11" s="21" t="n">
        <v>1.5</v>
      </c>
      <c r="C11" s="21" t="n">
        <v>3.5</v>
      </c>
      <c r="D11" s="21" t="n">
        <v>7</v>
      </c>
      <c r="E11" s="21" t="n">
        <v>12</v>
      </c>
      <c r="F11" s="22">
        <f>B11*$F$4</f>
        <v/>
      </c>
      <c r="G11" s="22">
        <f>C11*$F$4</f>
        <v/>
      </c>
      <c r="H11" s="22">
        <f>D11*$F$4</f>
        <v/>
      </c>
      <c r="I11" s="22">
        <f>E11*$F$4</f>
        <v/>
      </c>
      <c r="J11" s="21" t="n">
        <v>0</v>
      </c>
      <c r="K11" s="21" t="n">
        <v>1</v>
      </c>
      <c r="L11" s="21" t="n">
        <v>2</v>
      </c>
      <c r="M11" s="21" t="n">
        <v>3</v>
      </c>
      <c r="N11" s="21">
        <f>B11+J11</f>
        <v/>
      </c>
      <c r="O11" s="21">
        <f>C11+K11</f>
        <v/>
      </c>
      <c r="P11" s="21">
        <f>D11+L11</f>
        <v/>
      </c>
      <c r="Q11" s="21">
        <f>E11+M11</f>
        <v/>
      </c>
    </row>
    <row r="12" ht="30" customHeight="1">
      <c r="A12" s="20" t="inlineStr">
        <is>
          <t>🎛️ Arquitectura de intervención
(estrategia de primer contacto, defaults, rediseño de momentos de decisión, sistemas de incentivos)</t>
        </is>
      </c>
      <c r="B12" s="21" t="n">
        <v>1.5</v>
      </c>
      <c r="C12" s="21" t="n">
        <v>4</v>
      </c>
      <c r="D12" s="21" t="n">
        <v>8</v>
      </c>
      <c r="E12" s="21" t="n">
        <v>15</v>
      </c>
      <c r="F12" s="22">
        <f>B12*$F$4</f>
        <v/>
      </c>
      <c r="G12" s="22">
        <f>C12*$F$4</f>
        <v/>
      </c>
      <c r="H12" s="22">
        <f>D12*$F$4</f>
        <v/>
      </c>
      <c r="I12" s="22">
        <f>E12*$F$4</f>
        <v/>
      </c>
      <c r="J12" s="21" t="n">
        <v>1</v>
      </c>
      <c r="K12" s="21" t="n">
        <v>1</v>
      </c>
      <c r="L12" s="21" t="n">
        <v>2</v>
      </c>
      <c r="M12" s="21" t="n">
        <v>3</v>
      </c>
      <c r="N12" s="21">
        <f>B12+J12</f>
        <v/>
      </c>
      <c r="O12" s="21">
        <f>C12+K12</f>
        <v/>
      </c>
      <c r="P12" s="21">
        <f>D12+L12</f>
        <v/>
      </c>
      <c r="Q12" s="21">
        <f>E12+M12</f>
        <v/>
      </c>
    </row>
    <row r="13" ht="30" customHeight="1">
      <c r="A13" s="20" t="inlineStr">
        <is>
          <t>🧪 Validación y experimentación
(sacrificial concepts, tests de concepto, pilotos, experimentos A/B con tracking)</t>
        </is>
      </c>
      <c r="B13" s="21" t="n">
        <v>3</v>
      </c>
      <c r="C13" s="21" t="n">
        <v>5</v>
      </c>
      <c r="D13" s="21" t="n">
        <v>10</v>
      </c>
      <c r="E13" s="21" t="n">
        <v>15</v>
      </c>
      <c r="F13" s="22">
        <f>B13*$F$4</f>
        <v/>
      </c>
      <c r="G13" s="22">
        <f>C13*$F$4</f>
        <v/>
      </c>
      <c r="H13" s="22">
        <f>D13*$F$4</f>
        <v/>
      </c>
      <c r="I13" s="22">
        <f>E13*$F$4</f>
        <v/>
      </c>
      <c r="J13" s="21" t="n">
        <v>0</v>
      </c>
      <c r="K13" s="21" t="n">
        <v>2</v>
      </c>
      <c r="L13" s="21" t="n">
        <v>2</v>
      </c>
      <c r="M13" s="21" t="n">
        <v>3</v>
      </c>
      <c r="N13" s="21">
        <f>B13+J13</f>
        <v/>
      </c>
      <c r="O13" s="21">
        <f>C13+K13</f>
        <v/>
      </c>
      <c r="P13" s="21">
        <f>D13+L13</f>
        <v/>
      </c>
      <c r="Q13" s="21">
        <f>E13+M13</f>
        <v/>
      </c>
    </row>
    <row r="14" ht="30" customHeight="1">
      <c r="A14" s="20" t="inlineStr">
        <is>
          <t>📚 Sistemas y frameworks
(playbooks, modelos de competencias/hábitos, bibliotecas de intervenciones, guidelines para otros equipos)</t>
        </is>
      </c>
      <c r="B14" s="21" t="n">
        <v>1.5</v>
      </c>
      <c r="C14" s="21" t="n">
        <v>5</v>
      </c>
      <c r="D14" s="21" t="n">
        <v>10</v>
      </c>
      <c r="E14" s="21" t="n">
        <v>15</v>
      </c>
      <c r="F14" s="22">
        <f>B14*$F$4</f>
        <v/>
      </c>
      <c r="G14" s="22">
        <f>C14*$F$4</f>
        <v/>
      </c>
      <c r="H14" s="22">
        <f>D14*$F$4</f>
        <v/>
      </c>
      <c r="I14" s="22">
        <f>E14*$F$4</f>
        <v/>
      </c>
      <c r="J14" s="21" t="n">
        <v>0</v>
      </c>
      <c r="K14" s="21" t="n">
        <v>1</v>
      </c>
      <c r="L14" s="21" t="n">
        <v>2</v>
      </c>
      <c r="M14" s="21" t="n">
        <v>3</v>
      </c>
      <c r="N14" s="21">
        <f>B14+J14</f>
        <v/>
      </c>
      <c r="O14" s="21">
        <f>C14+K14</f>
        <v/>
      </c>
      <c r="P14" s="21">
        <f>D14+L14</f>
        <v/>
      </c>
      <c r="Q14" s="21">
        <f>E14+M14</f>
        <v/>
      </c>
    </row>
    <row r="15" ht="30" customHeight="1">
      <c r="A15" s="20" t="inlineStr">
        <is>
          <t>🚀 Adopción y despliegue
(despliegues FFVV/UV, capacitaciones, campañas de adopción, seguimiento post-implementación)</t>
        </is>
      </c>
      <c r="B15" s="21" t="n">
        <v>1.5</v>
      </c>
      <c r="C15" s="21" t="n">
        <v>4</v>
      </c>
      <c r="D15" s="21" t="n">
        <v>8</v>
      </c>
      <c r="E15" s="21" t="n">
        <v>12</v>
      </c>
      <c r="F15" s="22">
        <f>B15*$F$4</f>
        <v/>
      </c>
      <c r="G15" s="22">
        <f>C15*$F$4</f>
        <v/>
      </c>
      <c r="H15" s="22">
        <f>D15*$F$4</f>
        <v/>
      </c>
      <c r="I15" s="22">
        <f>E15*$F$4</f>
        <v/>
      </c>
      <c r="J15" s="21" t="n">
        <v>0</v>
      </c>
      <c r="K15" s="21" t="n">
        <v>1</v>
      </c>
      <c r="L15" s="21" t="n">
        <v>2</v>
      </c>
      <c r="M15" s="21" t="n">
        <v>3</v>
      </c>
      <c r="N15" s="21">
        <f>B15+J15</f>
        <v/>
      </c>
      <c r="O15" s="21">
        <f>C15+K15</f>
        <v/>
      </c>
      <c r="P15" s="21">
        <f>D15+L15</f>
        <v/>
      </c>
      <c r="Q15" s="21">
        <f>E15+M15</f>
        <v/>
      </c>
    </row>
    <row r="16">
      <c r="A16" s="23" t="inlineStr">
        <is>
          <t>🧭 MODALIDAD DE COMPROMISO DISTINTA — no es un entregable, es capacidad reservada (ver §3.7 del documento)</t>
        </is>
      </c>
      <c r="B16" s="2" t="n"/>
      <c r="C16" s="2" t="n"/>
      <c r="D16" s="2" t="n"/>
      <c r="E16" s="2" t="n"/>
      <c r="F16" s="2" t="n"/>
      <c r="G16" s="2" t="n"/>
      <c r="H16" s="2" t="n"/>
      <c r="I16" s="2" t="n"/>
      <c r="J16" s="2" t="n"/>
      <c r="K16" s="2" t="n"/>
      <c r="L16" s="2" t="n"/>
      <c r="M16" s="2" t="n"/>
      <c r="N16" s="2" t="n"/>
      <c r="O16" s="2" t="n"/>
      <c r="P16" s="2" t="n"/>
      <c r="Q16" s="2" t="n"/>
      <c r="R16" s="2" t="n"/>
      <c r="S16" s="2" t="n"/>
      <c r="T16" s="3" t="n"/>
    </row>
    <row r="17" ht="68" customHeight="1">
      <c r="A17" s="10" t="inlineStr">
        <is>
          <t>🧭 Acompañamiento de proyecto (embebido E2E)
(FASE 1 — exploración: BD entra desde el inicio de un proyecto de negocio sin entregable definido todavía; ANS de capacidad reservada, tabla de la derecha. FASE 2 — roadmap: en cuanto el proyecto prioriza sus soluciones, las que corresponden a BD vuelven al catálogo normal ⬆️ y se tallan como cualquier entregable — el acompañamiento no dura los 6 meses completos, solo hasta que existe roadmap)</t>
        </is>
      </c>
      <c r="B17" s="21" t="inlineStr">
        <is>
          <t>NA</t>
        </is>
      </c>
      <c r="C17" s="21" t="inlineStr">
        <is>
          <t>NA</t>
        </is>
      </c>
      <c r="D17" s="21" t="inlineStr">
        <is>
          <t>NA</t>
        </is>
      </c>
      <c r="E17" s="21" t="inlineStr">
        <is>
          <t>NA</t>
        </is>
      </c>
      <c r="F17" s="24" t="inlineStr">
        <is>
          <t>1–2 🪙/trim.</t>
        </is>
      </c>
      <c r="G17" s="24" t="inlineStr">
        <is>
          <t>3–4 🪙/trim.</t>
        </is>
      </c>
      <c r="H17" s="24" t="inlineStr">
        <is>
          <t>5–6 🪙/trim.</t>
        </is>
      </c>
      <c r="I17" s="24" t="inlineStr">
        <is>
          <t>7–8 🪙/trim.</t>
        </is>
      </c>
      <c r="J17" s="21" t="inlineStr">
        <is>
          <t>NA</t>
        </is>
      </c>
      <c r="K17" s="21" t="inlineStr">
        <is>
          <t>NA</t>
        </is>
      </c>
      <c r="L17" s="21" t="inlineStr">
        <is>
          <t>NA</t>
        </is>
      </c>
      <c r="M17" s="21" t="inlineStr">
        <is>
          <t>NA</t>
        </is>
      </c>
      <c r="N17" s="21" t="inlineStr">
        <is>
          <t>NA</t>
        </is>
      </c>
      <c r="O17" s="21" t="inlineStr">
        <is>
          <t>NA</t>
        </is>
      </c>
      <c r="P17" s="21" t="inlineStr">
        <is>
          <t>NA</t>
        </is>
      </c>
      <c r="Q17" s="21" t="inlineStr">
        <is>
          <t>NA</t>
        </is>
      </c>
      <c r="R17" s="25" t="inlineStr">
        <is>
          <t>Talla = % de capacidad reservada SOLO en fase de exploración (antes del roadmap)</t>
        </is>
      </c>
      <c r="S17" s="2" t="n"/>
      <c r="T17" s="3" t="n"/>
    </row>
    <row r="19" ht="30" customHeight="1">
      <c r="A19" s="20" t="inlineStr">
        <is>
          <t>🤝 Consultoría a otros equipos
(agente AI App, Home) — se gestiona como SOPORTE, no como proyecto tallado</t>
        </is>
      </c>
      <c r="B19" s="2" t="n"/>
      <c r="C19" s="2" t="n"/>
      <c r="D19" s="2" t="n"/>
      <c r="E19" s="2" t="n"/>
      <c r="F19" s="2" t="n"/>
      <c r="G19" s="2" t="n"/>
      <c r="H19" s="2" t="n"/>
      <c r="I19" s="2" t="n"/>
      <c r="J19" s="2" t="n"/>
      <c r="K19" s="2" t="n"/>
      <c r="L19" s="2" t="n"/>
      <c r="M19" s="2" t="n"/>
      <c r="N19" s="2" t="n"/>
      <c r="O19" s="2" t="n"/>
      <c r="P19" s="2" t="n"/>
      <c r="Q19" s="3" t="n"/>
      <c r="R19" s="21" t="inlineStr">
        <is>
          <t>0.5–1h</t>
        </is>
      </c>
      <c r="S19" s="21" t="inlineStr">
        <is>
          <t>2–4h</t>
        </is>
      </c>
      <c r="T19" s="21" t="inlineStr">
        <is>
          <t>1–2d</t>
        </is>
      </c>
    </row>
    <row r="20">
      <c r="A20" s="20" t="inlineStr">
        <is>
          <t>Soporte (desbloqueos, nuevos escenarios, QA conductual, deuda conductual)</t>
        </is>
      </c>
      <c r="B20" s="2" t="n"/>
      <c r="C20" s="2" t="n"/>
      <c r="D20" s="2" t="n"/>
      <c r="E20" s="2" t="n"/>
      <c r="F20" s="2" t="n"/>
      <c r="G20" s="2" t="n"/>
      <c r="H20" s="2" t="n"/>
      <c r="I20" s="2" t="n"/>
      <c r="J20" s="2" t="n"/>
      <c r="K20" s="2" t="n"/>
      <c r="L20" s="2" t="n"/>
      <c r="M20" s="2" t="n"/>
      <c r="N20" s="2" t="n"/>
      <c r="O20" s="2" t="n"/>
      <c r="P20" s="2" t="n"/>
      <c r="Q20" s="3" t="n"/>
      <c r="R20" s="21" t="inlineStr">
        <is>
          <t>Ver hoja «ANS Soporte»</t>
        </is>
      </c>
      <c r="S20" s="2" t="n"/>
      <c r="T20" s="3" t="n"/>
    </row>
    <row r="22" ht="45" customHeight="1">
      <c r="A22" s="8" t="inlineStr">
        <is>
          <t>📌 NOTAS: las categorías son cajones por FUNCIÓN (qué trabajo hace el entregable), no por artefacto — lo nuevo del futuro cae en un cajón existente sin rediseñar la tabla. No hay fila de «DÍAS TOTALES por talla»: un quest de BD normalmente es UNA función, no la suma secuencial de todas. Si un quest combina 2 funciones (p.ej. research + framework), talla cada una por separado y suma solo esas dos filas. El appetite se recalibra cada trimestre con beholder_tools.py retro, no por negociación en el kickoff.</t>
        </is>
      </c>
      <c r="B22" s="2" t="n"/>
      <c r="C22" s="2" t="n"/>
      <c r="D22" s="2" t="n"/>
      <c r="E22" s="2" t="n"/>
      <c r="F22" s="2" t="n"/>
      <c r="G22" s="2" t="n"/>
      <c r="H22" s="2" t="n"/>
      <c r="I22" s="2" t="n"/>
      <c r="J22" s="2" t="n"/>
      <c r="K22" s="2" t="n"/>
      <c r="L22" s="2" t="n"/>
      <c r="M22" s="2" t="n"/>
      <c r="N22" s="2" t="n"/>
      <c r="O22" s="2" t="n"/>
      <c r="P22" s="2" t="n"/>
      <c r="Q22" s="2" t="n"/>
      <c r="R22" s="2" t="n"/>
      <c r="S22" s="2" t="n"/>
      <c r="T22" s="3" t="n"/>
    </row>
  </sheetData>
  <mergeCells count="20">
    <mergeCell ref="R20:T20"/>
    <mergeCell ref="A1:T1"/>
    <mergeCell ref="A5:C5"/>
    <mergeCell ref="D6:T6"/>
    <mergeCell ref="R17:T17"/>
    <mergeCell ref="B7:E7"/>
    <mergeCell ref="A16:T16"/>
    <mergeCell ref="A4:C4"/>
    <mergeCell ref="N7:Q7"/>
    <mergeCell ref="F7:I7"/>
    <mergeCell ref="A2:T2"/>
    <mergeCell ref="J7:M7"/>
    <mergeCell ref="A7:A9"/>
    <mergeCell ref="A22:T22"/>
    <mergeCell ref="G4:T4"/>
    <mergeCell ref="A6:C6"/>
    <mergeCell ref="A20:Q20"/>
    <mergeCell ref="A19:Q19"/>
    <mergeCell ref="R7:T7"/>
    <mergeCell ref="D5:T5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17"/>
  <sheetViews>
    <sheetView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34" customWidth="1" min="2" max="2"/>
    <col width="34" customWidth="1" min="3" max="3"/>
    <col width="34" customWidth="1" min="4" max="4"/>
    <col width="34" customWidth="1" min="5" max="5"/>
  </cols>
  <sheetData>
    <row r="1">
      <c r="A1" s="1" t="inlineStr">
        <is>
          <t>Ejemplos de Tallaje — Behavioral Design (por categoría funcional)</t>
        </is>
      </c>
      <c r="B1" s="2" t="n"/>
      <c r="C1" s="2" t="n"/>
      <c r="D1" s="2" t="n"/>
      <c r="E1" s="3" t="n"/>
    </row>
    <row r="2">
      <c r="A2" s="4" t="inlineStr">
        <is>
          <t>Un ejemplo concreto por talla y categoría, para calibrar el juicio antes de tallar un quest nuevo (driver 3.2: novedad · superficie · validación requerida). Mezcla trabajo YA ENTREGADO (con su nombre, para trazabilidad) y trabajo FUTURO (marcado «futuro»), porque las categorías son cajones por función, no por artefacto hecho hasta hoy. Días y monedas exactos están en la hoja anterior; aquí solo el criterio cualitativo. Fuentes citadas: ver research/fuentes/registro_fuentes.md (ID F-n).</t>
        </is>
      </c>
      <c r="B2" s="2" t="n"/>
      <c r="C2" s="2" t="n"/>
      <c r="D2" s="2" t="n"/>
      <c r="E2" s="3" t="n"/>
    </row>
    <row r="4">
      <c r="A4" s="5" t="inlineStr">
        <is>
          <t>Categoría (función)</t>
        </is>
      </c>
      <c r="B4" s="6" t="inlineStr">
        <is>
          <t>Ejemplo concreto por talla</t>
        </is>
      </c>
      <c r="C4" s="2" t="n"/>
      <c r="D4" s="2" t="n"/>
      <c r="E4" s="3" t="n"/>
    </row>
    <row r="5">
      <c r="A5" s="15" t="n"/>
      <c r="B5" s="6" t="inlineStr">
        <is>
          <t>S</t>
        </is>
      </c>
      <c r="C5" s="6" t="inlineStr">
        <is>
          <t>M</t>
        </is>
      </c>
      <c r="D5" s="6" t="inlineStr">
        <is>
          <t>L</t>
        </is>
      </c>
      <c r="E5" s="6" t="inlineStr">
        <is>
          <t>XL</t>
        </is>
      </c>
    </row>
    <row r="6" ht="125" customHeight="1">
      <c r="A6" s="26" t="inlineStr">
        <is>
          <t>🔍 Evidencia y diagnóstico</t>
        </is>
      </c>
      <c r="B6" s="8" t="inlineStr">
        <is>
          <t>Desk research acotado sobre un tema puntual para informar una decisión rápida — p. ej. bench de 3–4 aseguradoras sobre cómo comunican el copago EPS, antes de definir el ángulo de una guía (futuro).</t>
        </is>
      </c>
      <c r="C6" s="8" t="inlineStr">
        <is>
          <t>Bench + síntesis con hipótesis — desk research + bench de estrategias de contacto en frío vs. caliente para la mesa Back to Basics (qué gatillos abren conversación: reciprocidad, curiosidad, personalización).</t>
        </is>
      </c>
      <c r="D6" s="8" t="inlineStr">
        <is>
          <t>Research con entrevistas u observación — mapear barreras y motivaciones de un perfil de pagador B2B con entrevistas a analistas de cuentas por cobrar (Evolution+ Cobranzas), no solo desk research. Mismo tier: cruzar data de renovación + siniestros para el modelo de retención en salud con Edu Rebata (Alejandro) — el riesgo es el acceso cross-área, no el análisis (se mide como Lead time, no Reloj BD).</t>
        </is>
      </c>
      <c r="E6" s="8" t="inlineStr">
        <is>
          <t>Diagnóstico E2E con data + campo — levantar el diagnóstico de barreras de entendimiento del journey EPS completo (multiempresa + individual), cruzando NPS/CSAT con entrevistas, como insumo del Ecosistema EPS (futuro).</t>
        </is>
      </c>
    </row>
    <row r="7" ht="125" customHeight="1">
      <c r="A7" s="26" t="inlineStr">
        <is>
          <t>📣 Comunicación conductual</t>
        </is>
      </c>
      <c r="B7" s="8" t="inlineStr">
        <is>
          <t>Ajuste de copy sobre una plantilla que ya existe — adaptar el copy de un WhatsApp de primer contacto ya validado a un nuevo segmento de asesores (futuro).</t>
        </is>
      </c>
      <c r="C7" s="8" t="inlineStr">
        <is>
          <t>Pieza o set nuevo para 1 canal con validación — 6 guías resumidas AMI en PDF; simplificación radical de la póliza (lenguaje claro, jerarquía de coberturas) validada con Producto y equipo médico. Ataca la sobrecarga informativa, causa #1 de desconfianza (F-1, tenencia SBS 2023).</t>
        </is>
      </c>
      <c r="D7" s="8" t="inlineStr">
        <is>
          <t>Familia de piezas o journey multicanal con gate legal — plantillas de WhatsApp y correo de primer contacto CON CUA, que pasan por el gate de Legal/Cumplimiento antes de salir (marco Ley 32323, F-28).</t>
        </is>
      </c>
      <c r="E7" s="8" t="inlineStr">
        <is>
          <t>Ecosistema de comunicación E2E — rediseñar guías + cartas + notificaciones del journey de renovación EPS como sistema coherente, no piezas sueltas (futuro).</t>
        </is>
      </c>
    </row>
    <row r="8" ht="125" customHeight="1">
      <c r="A8" s="26" t="inlineStr">
        <is>
          <t>🎛️ Arquitectura de intervención</t>
        </is>
      </c>
      <c r="B8" s="8" t="inlineStr">
        <is>
          <t>Micro-fricción o default en un paso existente — reordenar las opciones de un formulario de renovación para que el default sea la cobertura recomendada (futuro).</t>
        </is>
      </c>
      <c r="C8" s="8" t="inlineStr">
        <is>
          <t>Intervención en un momento de decisión puntual — rediseñar el paso de checkout de un producto EPS con framing de pérdida en vez de ganancia (futuro).</t>
        </is>
      </c>
      <c r="D8" s="8" t="inlineStr">
        <is>
          <t>Estrategia conductual de un flujo completo — informe con la arquitectura de decisión del primer contacto (canal, momento, mensaje) validada por CUA, Cumplimiento y Legal; +20–30% agendamiento de citas (est.).</t>
        </is>
      </c>
      <c r="E8" s="8" t="inlineStr">
        <is>
          <t>Programa conductual E2E / arquitectura de un producto — diseño To Be del Ecosistema de entendimiento y uso eficiente de seguros EPS, con touchpoints a lo largo de todo el journey del asegurado.</t>
        </is>
      </c>
    </row>
    <row r="9" ht="125" customHeight="1">
      <c r="A9" s="26" t="inlineStr">
        <is>
          <t>🧪 Validación y experimentación</t>
        </is>
      </c>
      <c r="B9" s="8" t="inlineStr">
        <is>
          <t>Test guerrilla / sacrificial concepts — 6 sacrificial concepts de contacto a no clientes sin CUA, para elicitar objeciones reales antes de invertir en el diseño final (preferencias reveladas, no declaradas).</t>
        </is>
      </c>
      <c r="C9" s="8" t="inlineStr">
        <is>
          <t>Test moderado con artefactos — plan de testeo + artefactos tangibles de Vivo Pack, con hipótesis de comprensión y disposición a pagar.</t>
        </is>
      </c>
      <c r="D9" s="8" t="inlineStr">
        <is>
          <t>Experimento A/B con tracking — diseño y ejecución de piloto de conciliación B2B; grupo tratamiento vs. control midiendo conducta real (conciliación a tiempo), no intención declarada.</t>
        </is>
      </c>
      <c r="E9" s="8" t="inlineStr">
        <is>
          <t>Programa de experimentación en serie — batería trimestral de experimentos A/B sobre distintos momentos del journey de renovación, con backlog priorizado y aprendizaje acumulado entre rondas (futuro). Ojo: un solo piloto de wellness no prueba impacto en siniestralidad (F-26) — el programa necesita varias rondas.</t>
        </is>
      </c>
    </row>
    <row r="10" ht="125" customHeight="1">
      <c r="A10" s="26" t="inlineStr">
        <is>
          <t>📚 Sistemas y frameworks</t>
        </is>
      </c>
      <c r="B10" s="8" t="inlineStr">
        <is>
          <t>Ajuste de una sección de un playbook existente — actualizar el capítulo de objeciones del playbook de ventas con hallazgos de un research reciente (futuro).</t>
        </is>
      </c>
      <c r="C10" s="8" t="inlineStr">
        <is>
          <t>Bloque nuevo o framework adaptado — playbook del servicio Bienestar 360, codificando el modelo de cambio de hábitos del programa para hacerlo replicable.</t>
        </is>
      </c>
      <c r="D10" s="8" t="inlineStr">
        <is>
          <t>Playbook o modelo completo con validación — modelo de competencias de Universidad Vida (niveles, calendarización con práctica espaciada F-16, evaluación con reconocimiento F-18), validado con Learning.</t>
        </is>
      </c>
      <c r="E10" s="8" t="inlineStr">
        <is>
          <t>Sistema con evaluación y gobernanza — modelo de entendimiento y uso eficiente de seguros del Chapter, con métricas propias y gobierno de actualización entre proyectos. Mismo tier: inputs conductuales para que CX (journey), mkt (pauta), guías y App construyan sus propias piezas del Ecosistema EPS (futuro) — el framework se talla aquí; alinear a los 4 equipos dueños se talla aparte en 🤝 Consultoría (regla de encaje).</t>
        </is>
      </c>
    </row>
    <row r="11" ht="125" customHeight="1">
      <c r="A11" s="26" t="inlineStr">
        <is>
          <t>🚀 Adopción y despliegue</t>
        </is>
      </c>
      <c r="B11" s="8" t="inlineStr">
        <is>
          <t>Sesión de capacitación con material ya listo — kickoff con un equipo comercial explicando una guía resumida ya publicada (futuro).</t>
        </is>
      </c>
      <c r="C11" s="8" t="inlineStr">
        <is>
          <t>1 cohorte con materiales listos — despliegue del playbook de storytelling con la cohorte de asesores de FFVV stock.</t>
        </is>
      </c>
      <c r="D11" s="8" t="inlineStr">
        <is>
          <t>Multi-cohorte con campeones y refuerzos — despliegue de Universidad Vida por cohortes sucesivas, con hitos visibles y refuerzo social para sostener el hábito formativo más allá del lanzamiento (F-18, reconocimiento + feedback).</t>
        </is>
      </c>
      <c r="E11" s="8" t="inlineStr">
        <is>
          <t>Organización completa con medición de adopción — campaña de adopción del Ecosistema EPS a nivel de toda la fuerza comercial (multiempresa + individual), con tracking de uso post-lanzamiento en NPS/CSAT (futuro).</t>
        </is>
      </c>
    </row>
    <row r="12">
      <c r="A12" s="27" t="inlineStr">
        <is>
          <t>🧭 MODALIDAD DISTINTA — Acompañamiento embebido (no es una función, es capacidad reservada por trimestre, §3.7)</t>
        </is>
      </c>
      <c r="B12" s="2" t="n"/>
      <c r="C12" s="2" t="n"/>
      <c r="D12" s="2" t="n"/>
      <c r="E12" s="3" t="n"/>
    </row>
    <row r="13" ht="130" customHeight="1">
      <c r="A13" s="26" t="inlineStr">
        <is>
          <t>🧭 Acompañamiento de proyecto
(embebido E2E, solo fase de exploración)</t>
        </is>
      </c>
      <c r="B13" s="8" t="inlineStr">
        <is>
          <t>S (1–2 🪙/trim.): check-ins puntuales con un proyecto que recién explora — p. ej. consultoría breve y recurrente con Convenios mientras entienden su modelo de venta actual, sin research ni entregable propio de BD todavía (futuro).</t>
        </is>
      </c>
      <c r="C13" s="8" t="inlineStr">
        <is>
          <t>M (3–4 🪙/trim.): participación activa en 2–3 funciones — p. ej. acompañar Spark: Vivo Pack desde el research hasta el testeo de concepto, sin llegar a diseño de intervención ni despliegue.</t>
        </is>
      </c>
      <c r="D13" s="8" t="inlineStr">
        <is>
          <t>L (5–6 🪙/trim.): hilo conductor a través de la mayoría de las funciones mientras no hay roadmap — p. ej. la fase inicial de la Renovación EPS (entender qué necesitaba el negocio de EPS, antes de que existieran las guías). En cuanto salió el roadmap, las guías (📣), la validación y el Diseño To Be (🎛️) se tallaron normal por 3.1 — ya no como acompañamiento.</t>
        </is>
      </c>
      <c r="E13" s="8" t="inlineStr">
        <is>
          <t>XL (7–8 🪙/trim.): casi dedicación completa con pairing, solo mientras dura la exploración — p. ej. las primeras semanas de la Mesa Back to Basics (research + validación + sacrificial concepts de estrategias de contacto) antes del informe CUA. En cuanto el informe priorizó soluciones, plantillas (📣), AIDA (📚) y despliegue (🚀) pasaron a tallarse como quests normales de 3.1 — el acompañamiento como tal ya había cerrado.</t>
        </is>
      </c>
    </row>
    <row r="15" ht="45" customHeight="1">
      <c r="A15" s="26" t="inlineStr">
        <is>
          <t>🤝 Consultoría a otros equipos</t>
        </is>
      </c>
      <c r="B15" s="8" t="inlineStr">
        <is>
          <t>Se gestiona como soporte por horas (ver hoja «ANS Soporte BD»): sesión puntual, revisión de un artefacto ajeno, o co-diseño acotado con el agente AI de App/Home. No se talla como quest propio — si crece más allá de eso, se abre un quest en la categoría que corresponda por función. Caso real de escala: alinear a 4 equipos dueños (CX, mkt, guías, App) del Ecosistema EPS son 4 revisiones de 2–4h, no 1 — avisar si esto se come la bolsa mensual de ~8h/persona (§3.3).</t>
        </is>
      </c>
      <c r="C15" s="2" t="n"/>
      <c r="D15" s="2" t="n"/>
      <c r="E15" s="3" t="n"/>
    </row>
    <row r="17" ht="55" customHeight="1">
      <c r="A17" s="8" t="inlineStr">
        <is>
          <t>📌 Cómo leer esta hoja: los ejemplos «futuro» son hipotéticos —trabajo que cabe en la categoría aunque el equipo no lo haya hecho todavía— y sirven para probar que el cajón por función no se rompe con lo nuevo. Los que no dicen «futuro» ya ocurrieron; úsalos como ancla de calibración en la retro trimestral (reference-class forecasting, F-31) en vez de discutir la talla desde cero cada vez.</t>
        </is>
      </c>
      <c r="B17" s="2" t="n"/>
      <c r="C17" s="2" t="n"/>
      <c r="D17" s="2" t="n"/>
      <c r="E17" s="3" t="n"/>
    </row>
  </sheetData>
  <mergeCells count="7">
    <mergeCell ref="A12:E12"/>
    <mergeCell ref="B4:E4"/>
    <mergeCell ref="A2:E2"/>
    <mergeCell ref="A4:A5"/>
    <mergeCell ref="B15:E15"/>
    <mergeCell ref="A1:E1"/>
    <mergeCell ref="A17:E17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0"/>
  <sheetViews>
    <sheetView workbookViewId="0">
      <selection activeCell="A1" sqref="A1"/>
    </sheetView>
  </sheetViews>
  <sheetFormatPr baseColWidth="8" defaultRowHeight="15"/>
  <cols>
    <col width="46" customWidth="1" min="1" max="1"/>
    <col width="9" customWidth="1" min="2" max="2"/>
    <col width="9" customWidth="1" min="3" max="3"/>
    <col width="9" customWidth="1" min="4" max="4"/>
    <col width="9" customWidth="1" min="5" max="5"/>
  </cols>
  <sheetData>
    <row r="1">
      <c r="A1" s="1" t="inlineStr">
        <is>
          <t>ANS Soporte · Behavioral Design</t>
        </is>
      </c>
      <c r="B1" s="2" t="n"/>
      <c r="C1" s="2" t="n"/>
      <c r="D1" s="2" t="n"/>
      <c r="E1" s="3" t="n"/>
    </row>
    <row r="2">
      <c r="A2" s="4" t="inlineStr">
        <is>
          <t>Las horas se pagan de la reserva de overhead del equipo (~8h/mes por persona, regla del Beholder). Si el soporte de un mes excede la bolsa, se convierte en quest con appetite propio (hoja anterior), no sigue como soporte.</t>
        </is>
      </c>
      <c r="B2" s="2" t="n"/>
      <c r="C2" s="2" t="n"/>
      <c r="D2" s="2" t="n"/>
      <c r="E2" s="3" t="n"/>
    </row>
    <row r="5">
      <c r="A5" s="5" t="inlineStr">
        <is>
          <t>Categoría de Soporte</t>
        </is>
      </c>
      <c r="B5" s="6" t="inlineStr">
        <is>
          <t>ANS Base (horas al 100%)</t>
        </is>
      </c>
      <c r="C5" s="2" t="n"/>
      <c r="D5" s="2" t="n"/>
      <c r="E5" s="3" t="n"/>
    </row>
    <row r="6">
      <c r="B6" s="6" t="inlineStr">
        <is>
          <t>XS</t>
        </is>
      </c>
      <c r="C6" s="6" t="inlineStr">
        <is>
          <t>S</t>
        </is>
      </c>
      <c r="D6" s="6" t="inlineStr">
        <is>
          <t>M</t>
        </is>
      </c>
      <c r="E6" s="6" t="inlineStr">
        <is>
          <t>L</t>
        </is>
      </c>
    </row>
    <row r="7" ht="30" customHeight="1">
      <c r="A7" s="20" t="inlineStr">
        <is>
          <t>Desbloqueos de implementación
(aclarar lógica de la intervención · ajustar copy conductual · confirmar variantes)</t>
        </is>
      </c>
      <c r="B7" s="21" t="n">
        <v>0.5</v>
      </c>
      <c r="C7" s="21" t="n">
        <v>1</v>
      </c>
      <c r="D7" s="21" t="n">
        <v>2</v>
      </c>
      <c r="E7" s="21" t="n">
        <v>3</v>
      </c>
    </row>
    <row r="8" ht="30" customHeight="1">
      <c r="A8" s="20" t="inlineStr">
        <is>
          <t>Nuevos escenarios
(adaptar intervención a segmentos o canales no contemplados)</t>
        </is>
      </c>
      <c r="B8" s="21" t="inlineStr">
        <is>
          <t>NA</t>
        </is>
      </c>
      <c r="C8" s="21" t="n">
        <v>1</v>
      </c>
      <c r="D8" s="21" t="n">
        <v>2</v>
      </c>
      <c r="E8" s="21" t="n">
        <v>6</v>
      </c>
    </row>
    <row r="9" ht="30" customHeight="1">
      <c r="A9" s="20" t="inlineStr">
        <is>
          <t>QA conductual
(auditoría de implementación vs. diseño del experimento: tracking, variantes, copy)</t>
        </is>
      </c>
      <c r="B9" s="21" t="n">
        <v>0.5</v>
      </c>
      <c r="C9" s="21" t="n">
        <v>1</v>
      </c>
      <c r="D9" s="21" t="n">
        <v>2</v>
      </c>
      <c r="E9" s="21" t="n">
        <v>4</v>
      </c>
    </row>
    <row r="10" ht="30" customHeight="1">
      <c r="A10" s="20" t="inlineStr">
        <is>
          <t>Deuda conductual
(iteraciones de intervenciones y experimentos de seguimiento)</t>
        </is>
      </c>
      <c r="B10" s="21" t="inlineStr">
        <is>
          <t>NA</t>
        </is>
      </c>
      <c r="C10" s="21" t="n">
        <v>2</v>
      </c>
      <c r="D10" s="21" t="n">
        <v>4</v>
      </c>
      <c r="E10" s="21" t="n">
        <v>8</v>
      </c>
    </row>
  </sheetData>
  <mergeCells count="3">
    <mergeCell ref="A2:E2"/>
    <mergeCell ref="A1:E1"/>
    <mergeCell ref="B5:E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2026-07-13T20:02:59Z</dcterms:created>
  <dcterms:modified xsi:type="dcterms:W3CDTF">2026-07-13T20:02:59Z</dcterms:modified>
</cp:coreProperties>
</file>