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 BD Final (XL 1Q)" sheetId="1" state="visible" r:id="rId1"/>
    <sheet name="Entregables" sheetId="2" state="visible" r:id="rId2"/>
    <sheet name="ANS BD v1 (sin curar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FFFFFFFF"/>
      <sz val="13"/>
    </font>
    <font>
      <color rgb="FF1F4E79"/>
      <sz val="9"/>
    </font>
    <font>
      <b val="1"/>
      <color rgb="FFFFFFFF"/>
      <sz val="10"/>
    </font>
    <font>
      <b val="1"/>
      <color rgb="FF000000"/>
      <sz val="11"/>
    </font>
    <font>
      <color rgb="FF000000"/>
      <sz val="9"/>
    </font>
    <font>
      <b val="1"/>
      <color rgb="FF000000"/>
      <sz val="10"/>
    </font>
    <font>
      <b val="1"/>
      <color rgb="FF375623"/>
      <sz val="10"/>
    </font>
    <font>
      <b val="1"/>
      <color rgb="FF7030A0"/>
      <sz val="10"/>
    </font>
    <font>
      <color rgb="FF000000"/>
      <sz val="8"/>
    </font>
    <font>
      <color rgb="FF7030A0"/>
      <sz val="9"/>
    </font>
    <font>
      <color rgb="FF000000"/>
      <sz val="10"/>
    </font>
    <font>
      <color rgb="FF000000"/>
      <sz val="11"/>
    </font>
    <font>
      <color rgb="FF375623"/>
      <sz val="11"/>
    </font>
    <font>
      <color rgb="FF595959"/>
      <sz val="9"/>
    </font>
    <font>
      <b val="1"/>
      <color rgb="FFFFFFFF"/>
      <sz val="12"/>
    </font>
    <font>
      <b val="1"/>
      <color rgb="FFFFFFFF"/>
      <sz val="11"/>
    </font>
  </fonts>
  <fills count="12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EBD1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.7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ANS + Tallas · Behavioral Design — FINAL (XL ≈ 1 Q)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4" t="inlineStr">
        <is>
          <t>Los días base corresponden a un perfil asignado al 100% a una sola iniciativa. Ajusta el % de asignación para ver el tiempo real estimado. Adaptado del modelo de Service Design (ANS_Sizing_SD.xlsx) — mismos parámetros y fórmulas, tallas propias de BD calibradas contra Sizing_Behavioral_Design.xlsx y datos reales del tablero.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</row>
    <row r="4">
      <c r="A4" s="5" t="inlineStr">
        <is>
          <t>⚙️  PARÁMETRO DE ASIGNACIÓN</t>
        </is>
      </c>
      <c r="B4" s="2" t="n"/>
      <c r="C4" s="3" t="n"/>
      <c r="D4" s="6" t="inlineStr">
        <is>
          <t>% Asignación al perfil</t>
        </is>
      </c>
      <c r="F4" s="7" t="n">
        <v>1</v>
      </c>
      <c r="G4" s="8" t="inlineStr">
        <is>
          <t>← Cambia este valor (ej: 0.5 = 50%, 0.25 = 25%)</t>
        </is>
      </c>
      <c r="H4" s="6" t="inlineStr">
        <is>
          <t>Días por sprint</t>
        </is>
      </c>
      <c r="I4" s="7" t="n">
        <v>10</v>
      </c>
      <c r="J4" s="8" t="inlineStr">
        <is>
          <t>← Días hábiles por sprint (ej: 10 = 2 semanas)</t>
        </is>
      </c>
      <c r="K4" s="2" t="n"/>
      <c r="L4" s="2" t="n"/>
      <c r="M4" s="2" t="n"/>
      <c r="N4" s="3" t="n"/>
    </row>
    <row r="5">
      <c r="A5" s="9" t="inlineStr">
        <is>
          <t>Factor multiplicador</t>
        </is>
      </c>
      <c r="B5" s="2" t="n"/>
      <c r="C5" s="3" t="n"/>
      <c r="D5" s="6" t="inlineStr">
        <is>
          <t>Días se multiplican por →</t>
        </is>
      </c>
      <c r="F5" s="10">
        <f>IF(F4=0,"-",1/F4)</f>
        <v/>
      </c>
      <c r="G5" s="8" t="inlineStr">
        <is>
          <t>← Factor aplicado automáticamente a todos los días</t>
        </is>
      </c>
    </row>
    <row r="7">
      <c r="A7" s="5" t="inlineStr">
        <is>
          <t>Fase / Entrega Behavioral Design</t>
        </is>
      </c>
      <c r="B7" s="11" t="inlineStr">
        <is>
          <t>ANS Base (días al 100%)</t>
        </is>
      </c>
      <c r="C7" s="2" t="n"/>
      <c r="D7" s="2" t="n"/>
      <c r="E7" s="3" t="n"/>
      <c r="F7" s="11" t="inlineStr">
        <is>
          <t>Días Reales (ajustados por asignación)</t>
        </is>
      </c>
      <c r="G7" s="2" t="n"/>
      <c r="H7" s="2" t="n"/>
      <c r="I7" s="3" t="n"/>
      <c r="J7" s="11" t="inlineStr">
        <is>
          <t>Feedback + VB
(días extra)</t>
        </is>
      </c>
      <c r="K7" s="12" t="inlineStr">
        <is>
          <t>ANS Épica: Días Reales Totales (incl. Feedback)</t>
        </is>
      </c>
      <c r="L7" s="2" t="n"/>
      <c r="M7" s="2" t="n"/>
      <c r="N7" s="3" t="n"/>
      <c r="O7" s="13" t="inlineStr">
        <is>
          <t>ANS Historias</t>
        </is>
      </c>
      <c r="P7" s="2" t="n"/>
      <c r="Q7" s="3" t="n"/>
    </row>
    <row r="8">
      <c r="A8" s="14" t="n"/>
      <c r="B8" s="11" t="inlineStr">
        <is>
          <t>S</t>
        </is>
      </c>
      <c r="C8" s="11" t="inlineStr">
        <is>
          <t>M</t>
        </is>
      </c>
      <c r="D8" s="11" t="inlineStr">
        <is>
          <t>L</t>
        </is>
      </c>
      <c r="E8" s="11" t="inlineStr">
        <is>
          <t>XL</t>
        </is>
      </c>
      <c r="F8" s="11" t="inlineStr">
        <is>
          <t>S</t>
        </is>
      </c>
      <c r="G8" s="11" t="inlineStr">
        <is>
          <t>M</t>
        </is>
      </c>
      <c r="H8" s="11" t="inlineStr">
        <is>
          <t>L</t>
        </is>
      </c>
      <c r="I8" s="11" t="inlineStr">
        <is>
          <t>XL</t>
        </is>
      </c>
      <c r="J8" s="14" t="n"/>
      <c r="K8" s="12" t="inlineStr">
        <is>
          <t>S</t>
        </is>
      </c>
      <c r="L8" s="12" t="inlineStr">
        <is>
          <t>M</t>
        </is>
      </c>
      <c r="M8" s="12" t="inlineStr">
        <is>
          <t>L</t>
        </is>
      </c>
      <c r="N8" s="12" t="inlineStr">
        <is>
          <t>XL</t>
        </is>
      </c>
      <c r="O8" s="13" t="inlineStr">
        <is>
          <t>S</t>
        </is>
      </c>
      <c r="P8" s="13" t="inlineStr">
        <is>
          <t>M</t>
        </is>
      </c>
      <c r="Q8" s="13" t="inlineStr">
        <is>
          <t>L</t>
        </is>
      </c>
    </row>
    <row r="9" ht="20" customHeight="1">
      <c r="A9" s="15" t="n"/>
      <c r="B9" s="16" t="inlineStr">
        <is>
          <t>Mín (piso)</t>
        </is>
      </c>
      <c r="E9" s="16" t="inlineStr">
        <is>
          <t>≈ 1 Q ✓ (techo real observado)</t>
        </is>
      </c>
      <c r="F9" s="17" t="inlineStr">
        <is>
          <t>base × factor</t>
        </is>
      </c>
      <c r="G9" s="17" t="inlineStr">
        <is>
          <t>base × factor</t>
        </is>
      </c>
      <c r="H9" s="17" t="inlineStr">
        <is>
          <t>base × factor</t>
        </is>
      </c>
      <c r="I9" s="17" t="inlineStr">
        <is>
          <t>base × factor</t>
        </is>
      </c>
      <c r="J9" s="15" t="n"/>
      <c r="K9" s="18" t="inlineStr">
        <is>
          <t>+ feedback si aplica</t>
        </is>
      </c>
      <c r="L9" s="18" t="inlineStr">
        <is>
          <t>+ feedback si aplica</t>
        </is>
      </c>
      <c r="M9" s="18" t="inlineStr">
        <is>
          <t>+ feedback si aplica</t>
        </is>
      </c>
      <c r="N9" s="18" t="inlineStr">
        <is>
          <t>+ feedback si aplica</t>
        </is>
      </c>
      <c r="O9" s="19" t="inlineStr">
        <is>
          <t>1-2 Días</t>
        </is>
      </c>
      <c r="P9" s="19" t="inlineStr">
        <is>
          <t>3-4 Días</t>
        </is>
      </c>
      <c r="Q9" s="19" t="inlineStr">
        <is>
          <t>5+ días</t>
        </is>
      </c>
    </row>
    <row r="10" ht="32" customHeight="1">
      <c r="A10" s="20" t="inlineStr">
        <is>
          <t>Refinamiento / (entendimiento, propuesta de abordaje conductual, alcance y roadmap)</t>
        </is>
      </c>
      <c r="B10" s="21" t="n">
        <v>4</v>
      </c>
      <c r="C10" s="21" t="n">
        <v>5</v>
      </c>
      <c r="D10" s="21" t="n">
        <v>6</v>
      </c>
      <c r="E10" s="21" t="n">
        <v>8</v>
      </c>
      <c r="F10" s="22">
        <f>IFERROR(ROUND(B10/$F$4,1),"-")</f>
        <v/>
      </c>
      <c r="G10" s="22">
        <f>IFERROR(ROUND(C10/$F$4,1),"-")</f>
        <v/>
      </c>
      <c r="H10" s="22">
        <f>IFERROR(ROUND(D10/$F$4,1),"-")</f>
        <v/>
      </c>
      <c r="I10" s="22">
        <f>IFERROR(ROUND(E10/$F$4,1),"-")</f>
        <v/>
      </c>
      <c r="J10" s="21" t="n">
        <v>0</v>
      </c>
      <c r="K10" s="23">
        <f>IFERROR(ROUND(F10+J10/$F$4,1),"-")</f>
        <v/>
      </c>
      <c r="L10" s="23">
        <f>IFERROR(ROUND(G10+J10/$F$4,1),"-")</f>
        <v/>
      </c>
      <c r="M10" s="23">
        <f>IFERROR(ROUND(H10+J10/$F$4,1),"-")</f>
        <v/>
      </c>
      <c r="N10" s="23">
        <f>IFERROR(ROUND(I10+J10/$F$4,1),"-")</f>
        <v/>
      </c>
    </row>
    <row r="11" ht="32" customHeight="1">
      <c r="A11" s="20" t="inlineStr">
        <is>
          <t>Investigación / (plan, desk research, bench, entrevistas, análisis de data, sacrificial concepts)</t>
        </is>
      </c>
      <c r="B11" s="21" t="n">
        <v>2</v>
      </c>
      <c r="C11" s="21" t="n">
        <v>5</v>
      </c>
      <c r="D11" s="21" t="n">
        <v>8</v>
      </c>
      <c r="E11" s="21" t="n">
        <v>15</v>
      </c>
      <c r="F11" s="22">
        <f>IFERROR(ROUND(B11/$F$4,1),"-")</f>
        <v/>
      </c>
      <c r="G11" s="22">
        <f>IFERROR(ROUND(C11/$F$4,1),"-")</f>
        <v/>
      </c>
      <c r="H11" s="22">
        <f>IFERROR(ROUND(D11/$F$4,1),"-")</f>
        <v/>
      </c>
      <c r="I11" s="22">
        <f>IFERROR(ROUND(E11/$F$4,1),"-")</f>
        <v/>
      </c>
      <c r="J11" s="21" t="n">
        <v>0</v>
      </c>
      <c r="K11" s="23">
        <f>IFERROR(ROUND(F11+J11/$F$4,1),"-")</f>
        <v/>
      </c>
      <c r="L11" s="23">
        <f>IFERROR(ROUND(G11+J11/$F$4,1),"-")</f>
        <v/>
      </c>
      <c r="M11" s="23">
        <f>IFERROR(ROUND(H11+J11/$F$4,1),"-")</f>
        <v/>
      </c>
      <c r="N11" s="23">
        <f>IFERROR(ROUND(I11+J11/$F$4,1),"-")</f>
        <v/>
      </c>
    </row>
    <row r="12" ht="32" customHeight="1">
      <c r="A12" s="20" t="inlineStr">
        <is>
          <t>Definición / (síntesis de insights conductuales, hipótesis de intervención)</t>
        </is>
      </c>
      <c r="B12" s="21" t="n">
        <v>3</v>
      </c>
      <c r="C12" s="21" t="n">
        <v>5</v>
      </c>
      <c r="D12" s="21" t="n">
        <v>7</v>
      </c>
      <c r="E12" s="21" t="n">
        <v>9</v>
      </c>
      <c r="F12" s="22">
        <f>IFERROR(ROUND(B12/$F$4,1),"-")</f>
        <v/>
      </c>
      <c r="G12" s="22">
        <f>IFERROR(ROUND(C12/$F$4,1),"-")</f>
        <v/>
      </c>
      <c r="H12" s="22">
        <f>IFERROR(ROUND(D12/$F$4,1),"-")</f>
        <v/>
      </c>
      <c r="I12" s="22">
        <f>IFERROR(ROUND(E12/$F$4,1),"-")</f>
        <v/>
      </c>
      <c r="J12" s="21" t="n">
        <v>0</v>
      </c>
      <c r="K12" s="23">
        <f>IFERROR(ROUND(F12+J12/$F$4,1),"-")</f>
        <v/>
      </c>
      <c r="L12" s="23">
        <f>IFERROR(ROUND(G12+J12/$F$4,1),"-")</f>
        <v/>
      </c>
      <c r="M12" s="23">
        <f>IFERROR(ROUND(H12+J12/$F$4,1),"-")</f>
        <v/>
      </c>
      <c r="N12" s="23">
        <f>IFERROR(ROUND(I12+J12/$F$4,1),"-")</f>
        <v/>
      </c>
    </row>
    <row r="13" ht="32" customHeight="1">
      <c r="A13" s="20" t="inlineStr">
        <is>
          <t>Diseño / (journeys TO BE, piezas de comunicación, conceptos, prototipos, sistemas y frameworks)</t>
        </is>
      </c>
      <c r="B13" s="21" t="n">
        <v>6</v>
      </c>
      <c r="C13" s="21" t="n">
        <v>9</v>
      </c>
      <c r="D13" s="21" t="n">
        <v>13</v>
      </c>
      <c r="E13" s="21" t="n">
        <v>18</v>
      </c>
      <c r="F13" s="22">
        <f>IFERROR(ROUND(B13/$F$4,1),"-")</f>
        <v/>
      </c>
      <c r="G13" s="22">
        <f>IFERROR(ROUND(C13/$F$4,1),"-")</f>
        <v/>
      </c>
      <c r="H13" s="22">
        <f>IFERROR(ROUND(D13/$F$4,1),"-")</f>
        <v/>
      </c>
      <c r="I13" s="22">
        <f>IFERROR(ROUND(E13/$F$4,1),"-")</f>
        <v/>
      </c>
      <c r="J13" s="21" t="n">
        <v>0</v>
      </c>
      <c r="K13" s="23">
        <f>IFERROR(ROUND(F13+J13/$F$4,1),"-")</f>
        <v/>
      </c>
      <c r="L13" s="23">
        <f>IFERROR(ROUND(G13+J13/$F$4,1),"-")</f>
        <v/>
      </c>
      <c r="M13" s="23">
        <f>IFERROR(ROUND(H13+J13/$F$4,1),"-")</f>
        <v/>
      </c>
      <c r="N13" s="23">
        <f>IFERROR(ROUND(I13+J13/$F$4,1),"-")</f>
        <v/>
      </c>
    </row>
    <row r="14" ht="32" customHeight="1">
      <c r="A14" s="20" t="inlineStr">
        <is>
          <t>Pruebas / (prueba de concepto, testeo de experiencia, MVP, experimentos A/B)</t>
        </is>
      </c>
      <c r="B14" s="21" t="n">
        <v>3</v>
      </c>
      <c r="C14" s="21" t="n">
        <v>6</v>
      </c>
      <c r="D14" s="21" t="n">
        <v>10</v>
      </c>
      <c r="E14" s="21" t="n">
        <v>15</v>
      </c>
      <c r="F14" s="22">
        <f>IFERROR(ROUND(B14/$F$4,1),"-")</f>
        <v/>
      </c>
      <c r="G14" s="22">
        <f>IFERROR(ROUND(C14/$F$4,1),"-")</f>
        <v/>
      </c>
      <c r="H14" s="22">
        <f>IFERROR(ROUND(D14/$F$4,1),"-")</f>
        <v/>
      </c>
      <c r="I14" s="22">
        <f>IFERROR(ROUND(E14/$F$4,1),"-")</f>
        <v/>
      </c>
      <c r="J14" s="21" t="n">
        <v>0</v>
      </c>
      <c r="K14" s="23">
        <f>IFERROR(ROUND(F14+J14/$F$4,1),"-")</f>
        <v/>
      </c>
      <c r="L14" s="23">
        <f>IFERROR(ROUND(G14+J14/$F$4,1),"-")</f>
        <v/>
      </c>
      <c r="M14" s="23">
        <f>IFERROR(ROUND(H14+J14/$F$4,1),"-")</f>
        <v/>
      </c>
      <c r="N14" s="23">
        <f>IFERROR(ROUND(I14+J14/$F$4,1),"-")</f>
        <v/>
      </c>
    </row>
    <row r="15" ht="32" customHeight="1">
      <c r="A15" s="20" t="inlineStr">
        <is>
          <t>Acompañamiento a la ejecución / (piloto, resultados, seguimiento KPIs, hand off / delegación)</t>
        </is>
      </c>
      <c r="B15" s="21" t="n">
        <v>4</v>
      </c>
      <c r="C15" s="21" t="n">
        <v>6</v>
      </c>
      <c r="D15" s="21" t="n">
        <v>9</v>
      </c>
      <c r="E15" s="21" t="n">
        <v>12</v>
      </c>
      <c r="F15" s="22">
        <f>IFERROR(ROUND(B15/$F$4,1),"-")</f>
        <v/>
      </c>
      <c r="G15" s="22">
        <f>IFERROR(ROUND(C15/$F$4,1),"-")</f>
        <v/>
      </c>
      <c r="H15" s="22">
        <f>IFERROR(ROUND(D15/$F$4,1),"-")</f>
        <v/>
      </c>
      <c r="I15" s="22">
        <f>IFERROR(ROUND(E15/$F$4,1),"-")</f>
        <v/>
      </c>
      <c r="J15" s="21" t="n">
        <v>0</v>
      </c>
      <c r="K15" s="23">
        <f>IFERROR(ROUND(F15+J15/$F$4,1),"-")</f>
        <v/>
      </c>
      <c r="L15" s="23">
        <f>IFERROR(ROUND(G15+J15/$F$4,1),"-")</f>
        <v/>
      </c>
      <c r="M15" s="23">
        <f>IFERROR(ROUND(H15+J15/$F$4,1),"-")</f>
        <v/>
      </c>
      <c r="N15" s="23">
        <f>IFERROR(ROUND(I15+J15/$F$4,1),"-")</f>
        <v/>
      </c>
    </row>
    <row r="16">
      <c r="A16" s="24" t="inlineStr">
        <is>
          <t>Soporte</t>
        </is>
      </c>
      <c r="B16" s="25" t="inlineStr">
        <is>
          <t>TBD</t>
        </is>
      </c>
      <c r="C16" s="25" t="inlineStr">
        <is>
          <t>TBD</t>
        </is>
      </c>
      <c r="D16" s="25" t="inlineStr">
        <is>
          <t>TBD</t>
        </is>
      </c>
      <c r="E16" s="25" t="inlineStr">
        <is>
          <t>TBD</t>
        </is>
      </c>
      <c r="F16" s="22" t="inlineStr">
        <is>
          <t>TBD</t>
        </is>
      </c>
      <c r="G16" s="22" t="inlineStr">
        <is>
          <t>TBD</t>
        </is>
      </c>
      <c r="H16" s="22" t="inlineStr">
        <is>
          <t>TBD</t>
        </is>
      </c>
      <c r="I16" s="22" t="inlineStr">
        <is>
          <t>TBD</t>
        </is>
      </c>
      <c r="J16" s="25" t="inlineStr">
        <is>
          <t>-</t>
        </is>
      </c>
      <c r="K16" s="26" t="inlineStr">
        <is>
          <t>TBD</t>
        </is>
      </c>
      <c r="L16" s="26" t="inlineStr">
        <is>
          <t>TBD</t>
        </is>
      </c>
      <c r="M16" s="26" t="inlineStr">
        <is>
          <t>TBD</t>
        </is>
      </c>
      <c r="N16" s="26" t="inlineStr">
        <is>
          <t>TBD</t>
        </is>
      </c>
    </row>
    <row r="18" ht="60" customHeight="1">
      <c r="A18" s="27" t="inlineStr">
        <is>
          <t>📌 TALLA FINAL adoptada para BD. XL = 77 días efectivos ≈ 3.9 meses / 8 sprints trabajando al 100% — techo real observado en épicas embebidas (Mesa Back to Basics, Renovación EPS; ver §3.7 de ans_behavioral_design.md, acompañamientos de hasta 6 meses pero con dedicación parcial, no 100%). S = piso real de un proyecto de 6 fases. A diferencia de Service Design (L≈1Q, XL≈2Q), BD no necesita una talla de 2 trimestres: el alcance más grande observado en el equipo cabe en XL. Experimentos masivos (tracking largo, significancia estadística) inflarían Pruebas mucho más — ese exceso se reporta como Lead time, no como esfuerzo del Reloj BD. Feedback + VB por definir (hoy en 0). Factor = 1 / %Asignación. Ver hoja «ANS BD v1 (sin curar)» para el contraste con la suma cruda de todas las sub-etapas.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/>
    </row>
    <row r="19">
      <c r="J19" s="28" t="inlineStr">
        <is>
          <t>DIAS TOTALES</t>
        </is>
      </c>
      <c r="K19" s="6">
        <f>SUM(K10:K15)</f>
        <v/>
      </c>
      <c r="L19" s="6">
        <f>SUM(L10:L15)</f>
        <v/>
      </c>
      <c r="M19" s="6">
        <f>SUM(M10:M15)</f>
        <v/>
      </c>
      <c r="N19" s="6">
        <f>SUM(N10:N15)</f>
        <v/>
      </c>
    </row>
    <row r="20">
      <c r="J20" s="28" t="inlineStr">
        <is>
          <t>Sprints</t>
        </is>
      </c>
      <c r="K20" s="6">
        <f>IFERROR(CEILING(K19/$I$4,1)&amp;IF(CEILING(K19/$I$4,1)=1," sprint"," sprints"),"-")</f>
        <v/>
      </c>
      <c r="L20" s="6">
        <f>IFERROR(CEILING(L19/$I$4,1)&amp;IF(CEILING(L19/$I$4,1)=1," sprint"," sprints"),"-")</f>
        <v/>
      </c>
      <c r="M20" s="6">
        <f>IFERROR(CEILING(M19/$I$4,1)&amp;IF(CEILING(M19/$I$4,1)=1," sprint"," sprints"),"-")</f>
        <v/>
      </c>
      <c r="N20" s="6">
        <f>IFERROR(CEILING(N19/$I$4,1)&amp;IF(CEILING(N19/$I$4,1)=1," sprint"," sprints"),"-")</f>
        <v/>
      </c>
    </row>
    <row r="21">
      <c r="L21" s="29" t="inlineStr">
        <is>
          <t>*M y L: obligatorias + 1-2 opcionales · Pruebas sin experimentos masivos</t>
        </is>
      </c>
      <c r="M21" s="2" t="n"/>
      <c r="N21" s="3" t="n"/>
    </row>
  </sheetData>
  <mergeCells count="13">
    <mergeCell ref="J4:N4"/>
    <mergeCell ref="A18:N18"/>
    <mergeCell ref="A7:A9"/>
    <mergeCell ref="A5:C5"/>
    <mergeCell ref="F7:I7"/>
    <mergeCell ref="L21:N21"/>
    <mergeCell ref="J7:J9"/>
    <mergeCell ref="A2:N2"/>
    <mergeCell ref="B7:E7"/>
    <mergeCell ref="O7:Q7"/>
    <mergeCell ref="K7:N7"/>
    <mergeCell ref="A4:C4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55" customWidth="1" min="3" max="3"/>
    <col width="40" customWidth="1" min="4" max="4"/>
    <col width="16" customWidth="1" min="5" max="5"/>
  </cols>
  <sheetData>
    <row r="1">
      <c r="A1" s="30" t="inlineStr">
        <is>
          <t>Proceso de diseño conductual — Sizing por sub-etapa (Behavioral Design)</t>
        </is>
      </c>
      <c r="B1" s="2" t="n"/>
      <c r="C1" s="2" t="n"/>
      <c r="D1" s="2" t="n"/>
      <c r="E1" s="3" t="n"/>
    </row>
    <row r="2">
      <c r="A2" s="31" t="inlineStr">
        <is>
          <t>#</t>
        </is>
      </c>
      <c r="B2" s="31" t="inlineStr">
        <is>
          <t>Fase</t>
        </is>
      </c>
      <c r="C2" s="31" t="inlineStr">
        <is>
          <t>Sub-etapas / entregables (rango mín-máx en días)</t>
        </is>
      </c>
      <c r="D2" s="31" t="inlineStr">
        <is>
          <t>Entregables</t>
        </is>
      </c>
      <c r="E2" s="31" t="inlineStr">
        <is>
          <t>Total de la fase (mín-máx)</t>
        </is>
      </c>
    </row>
    <row r="3" ht="130" customHeight="1">
      <c r="A3" s="25" t="n">
        <v>1</v>
      </c>
      <c r="B3" s="9" t="inlineStr">
        <is>
          <t>Refinamiento</t>
        </is>
      </c>
      <c r="C3" s="8" t="inlineStr">
        <is>
          <t>• Reuniones de entendimiento / alineamiento (1–1 d)
• Elaboración de propuesta de abordaje conductual (hipótesis de comportamiento, alcance y roadmap) (2–6 d) 🤖
• Definición del alcance y roadmap (reunión) (1–1 d)</t>
        </is>
      </c>
      <c r="D3" s="8" t="inlineStr">
        <is>
          <t>• Propuesta de abordaje conductual (hipótesis + alcance + roadmap) 🤖
• Acta de kickoff / alineamiento</t>
        </is>
      </c>
      <c r="E3" s="6" t="inlineStr">
        <is>
          <t>4–8 días</t>
        </is>
      </c>
    </row>
    <row r="4" ht="130" customHeight="1">
      <c r="A4" s="25" t="n">
        <v>2</v>
      </c>
      <c r="B4" s="9" t="inlineStr">
        <is>
          <t>Investigación</t>
        </is>
      </c>
      <c r="C4" s="8" t="inlineStr">
        <is>
          <t>• Elaboración de plan de investigación conductual (1–1 d) 🤖
• Alineamiento con stakeholders (1–1 d)
• Desk research + revisión de evidencia conductual/behavioral economics (1–6 d) 🤖
• Bench de estrategias o mensajes conductuales (1–5 d)
• Diseño de artefactos de investigación (guías, protocolos, estímulos) (1–4 d) 🤖
• Mapeo de journey conductual / matriz de sesgos (1–4 d) 🤖
• Entrevistas a profundidad (barreras, motivaciones, sesgos) (5–15 d)
• Análisis de data conductual (cruces, segmentación, predictores) (3–10 d) 🤖
• Sacrificial concepts / mensajes provocadores (3–8 d)</t>
        </is>
      </c>
      <c r="D4" s="8" t="inlineStr">
        <is>
          <t>• Plan de investigación conductual
• Artefactos de investigación (guías, estímulos)
• Reporte de hallazgos (journey conductual AS-IS, matriz de sesgos, insights preliminares) 🤖</t>
        </is>
      </c>
      <c r="E4" s="6" t="inlineStr">
        <is>
          <t>2–15 días</t>
        </is>
      </c>
    </row>
    <row r="5" ht="130" customHeight="1">
      <c r="A5" s="25" t="n">
        <v>3</v>
      </c>
      <c r="B5" s="9" t="inlineStr">
        <is>
          <t>Definición</t>
        </is>
      </c>
      <c r="C5" s="8" t="inlineStr">
        <is>
          <t>• Análisis de resultados y síntesis: journey conductual AS IS / mapa de barreras (1–4 d) 🤖
• Síntesis: insights conductuales (1–3 d) 🤖
• Síntesis: hipótesis de intervención (1–2 d) 🤖</t>
        </is>
      </c>
      <c r="D5" s="8" t="inlineStr">
        <is>
          <t>• Insights conductuales priorizados 🤖
• Journey conductual AS-IS sintetizado
• Hipótesis de intervención / mecanismo a atacar</t>
        </is>
      </c>
      <c r="E5" s="6" t="inlineStr">
        <is>
          <t>3–9 días</t>
        </is>
      </c>
    </row>
    <row r="6" ht="130" customHeight="1">
      <c r="A6" s="25" t="n">
        <v>4</v>
      </c>
      <c r="B6" s="9" t="inlineStr">
        <is>
          <t>Diseño</t>
        </is>
      </c>
      <c r="C6" s="8" t="inlineStr">
        <is>
          <t>• Journeys/Blueprints conductuales TO BE (2–8 d) 🤖
• Creación de piezas de comunicación conductual (1–6 d) 🤖
• Alineamiento con stakeholders (1–3 d)
• Conceptos de intervención (MVP conductual) (1–4 d) 🤖
• Prototipos de intervención (1–6 d) 🤖
• Sistemas y frameworks (playbooks, modelos, bibliotecas de intervenciones) (4–15 d) 🤖</t>
        </is>
      </c>
      <c r="D6" s="8" t="inlineStr">
        <is>
          <t>• Journey/Blueprint conductual TO-BE 🤖
• Piezas de comunicación conductual (guías, plantillas, mensajes)
• Concepto / MVP de intervención
• Prototipo de intervención 🤖
• Playbook / framework / modelo (cuando aplica)</t>
        </is>
      </c>
      <c r="E6" s="6" t="inlineStr">
        <is>
          <t>6–18 días</t>
        </is>
      </c>
    </row>
    <row r="7" ht="130" customHeight="1">
      <c r="A7" s="25" t="n">
        <v>5</v>
      </c>
      <c r="B7" s="9" t="inlineStr">
        <is>
          <t>Pruebas</t>
        </is>
      </c>
      <c r="C7" s="8" t="inlineStr">
        <is>
          <t>• Prueba de concepto (cualitativa) (3–8 d)
• Encuestas (1–1 d)
• Testeo de experiencia (piezas, journeys) (3–8 d)
• MVP conductual (1–1 d) 🤖
• Experimentos → se gestiona con foco acotado (fuera de esto, es Lead time) (10–25 d)</t>
        </is>
      </c>
      <c r="D7" s="8" t="inlineStr">
        <is>
          <t>• Plan de testeo
• Reporte de resultados (cuali + experimentos)
• Priorización de ajustes / fixes</t>
        </is>
      </c>
      <c r="E7" s="6" t="inlineStr">
        <is>
          <t>3–15 días</t>
        </is>
      </c>
    </row>
    <row r="8" ht="130" customHeight="1">
      <c r="A8" s="25" t="n">
        <v>6</v>
      </c>
      <c r="B8" s="9" t="inlineStr">
        <is>
          <t>Acompañamiento a la ejecución</t>
        </is>
      </c>
      <c r="C8" s="8" t="inlineStr">
        <is>
          <t>• Piloto* (incluye seguimiento al piloto) (4–12 d) 🤖
• Presentación de resultados (1–3 d)
• Seguimiento a métricas de éxito (KPIs conductuales: NPS, CSAT, adopción) (2–8 d) 🤖
• Hands off / delegación de diseño al equipo implementador (2–8 d)</t>
        </is>
      </c>
      <c r="D8" s="8" t="inlineStr">
        <is>
          <t>• Plan y reporte de piloto
• Tablero de KPIs conductuales 🤖
• Documento de hand off / delegación (§3.7 de ans_behavioral_design.md)</t>
        </is>
      </c>
      <c r="E8" s="6" t="inlineStr">
        <is>
          <t>4–12 días</t>
        </is>
      </c>
    </row>
    <row r="10" ht="45" customHeight="1">
      <c r="B10" s="8" t="inlineStr">
        <is>
          <t>Nota: los rangos de «Total de la fase» corresponden a la versión Final (XL≈1Q) de la hoja «ANS BD Final». Un proyecto elige 1-2 sub-etapas opcionales, no todas. Ver Sizing_Behavioral_Design.xlsx (Hoja1) para el detalle granular con MÍNIMO/MÁXIMO por sub-etapa, y la hoja «ANS BD v1 (sin curar)» de este archivo para el contraste con la suma cruda de todas las sub-etapas sin curar.</t>
        </is>
      </c>
      <c r="C10" s="2" t="n"/>
      <c r="D10" s="2" t="n"/>
      <c r="E10" s="3" t="n"/>
    </row>
  </sheetData>
  <mergeCells count="2">
    <mergeCell ref="B10:E10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ANS + Tallas · Behavioral Design — v1 SIN CURAR (suma cruda de sub-etapas)</t>
        </is>
      </c>
      <c r="B1" s="2" t="n"/>
      <c r="C1" s="2" t="n"/>
      <c r="D1" s="2" t="n"/>
      <c r="E1" s="3" t="n"/>
    </row>
    <row r="2" ht="28" customHeight="1">
      <c r="A2" s="4" t="inlineStr">
        <is>
          <t>Referencia histórica: qué pasaría si se sumaran TODAS las sub-etapas de cada fase (Sizing_Behavioral_Design.xlsx, Hoja1) sin curar a un subconjunto realista. No es la versión adoptada — ver hoja «ANS BD Final (XL 1Q)».</t>
        </is>
      </c>
      <c r="B2" s="2" t="n"/>
      <c r="C2" s="2" t="n"/>
      <c r="D2" s="2" t="n"/>
      <c r="E2" s="3" t="n"/>
    </row>
    <row r="4">
      <c r="A4" s="32" t="inlineStr">
        <is>
          <t>Fase</t>
        </is>
      </c>
      <c r="B4" s="31" t="inlineStr">
        <is>
          <t>S</t>
        </is>
      </c>
      <c r="C4" s="31" t="inlineStr">
        <is>
          <t>M</t>
        </is>
      </c>
      <c r="D4" s="31" t="inlineStr">
        <is>
          <t>L</t>
        </is>
      </c>
      <c r="E4" s="31" t="inlineStr">
        <is>
          <t>XL</t>
        </is>
      </c>
    </row>
    <row r="5">
      <c r="A5" s="33" t="inlineStr">
        <is>
          <t>Refinamiento</t>
        </is>
      </c>
      <c r="B5" s="25" t="n">
        <v>4</v>
      </c>
      <c r="C5" s="25" t="n">
        <v>5</v>
      </c>
      <c r="D5" s="25" t="n">
        <v>6</v>
      </c>
      <c r="E5" s="25" t="n">
        <v>8</v>
      </c>
    </row>
    <row r="6">
      <c r="A6" s="33" t="inlineStr">
        <is>
          <t>Investigación</t>
        </is>
      </c>
      <c r="B6" s="25" t="n">
        <v>18</v>
      </c>
      <c r="C6" s="25" t="n">
        <v>30</v>
      </c>
      <c r="D6" s="25" t="n">
        <v>40</v>
      </c>
      <c r="E6" s="25" t="n">
        <v>54</v>
      </c>
    </row>
    <row r="7">
      <c r="A7" s="33" t="inlineStr">
        <is>
          <t>Definición</t>
        </is>
      </c>
      <c r="B7" s="25" t="n">
        <v>3</v>
      </c>
      <c r="C7" s="25" t="n">
        <v>5</v>
      </c>
      <c r="D7" s="25" t="n">
        <v>7</v>
      </c>
      <c r="E7" s="25" t="n">
        <v>9</v>
      </c>
    </row>
    <row r="8">
      <c r="A8" s="33" t="inlineStr">
        <is>
          <t>Diseño</t>
        </is>
      </c>
      <c r="B8" s="25" t="n">
        <v>10</v>
      </c>
      <c r="C8" s="25" t="n">
        <v>20</v>
      </c>
      <c r="D8" s="25" t="n">
        <v>30</v>
      </c>
      <c r="E8" s="25" t="n">
        <v>42</v>
      </c>
    </row>
    <row r="9">
      <c r="A9" s="33" t="inlineStr">
        <is>
          <t>Pruebas</t>
        </is>
      </c>
      <c r="B9" s="25" t="n">
        <v>18</v>
      </c>
      <c r="C9" s="25" t="n">
        <v>26</v>
      </c>
      <c r="D9" s="25" t="n">
        <v>34</v>
      </c>
      <c r="E9" s="25" t="n">
        <v>43</v>
      </c>
    </row>
    <row r="10">
      <c r="A10" s="33" t="inlineStr">
        <is>
          <t>Acompañamiento a la ejecución</t>
        </is>
      </c>
      <c r="B10" s="25" t="n">
        <v>9</v>
      </c>
      <c r="C10" s="25" t="n">
        <v>16</v>
      </c>
      <c r="D10" s="25" t="n">
        <v>23</v>
      </c>
      <c r="E10" s="25" t="n">
        <v>31</v>
      </c>
    </row>
    <row r="11">
      <c r="A11" s="9" t="inlineStr">
        <is>
          <t>TOTAL</t>
        </is>
      </c>
      <c r="B11" s="6">
        <f>SUM(B5:B10)</f>
        <v/>
      </c>
      <c r="C11" s="6">
        <f>SUM(C5:C10)</f>
        <v/>
      </c>
      <c r="D11" s="6">
        <f>SUM(D5:D10)</f>
        <v/>
      </c>
      <c r="E11" s="6">
        <f>SUM(E5:E10)</f>
        <v/>
      </c>
    </row>
    <row r="12">
      <c r="A12" s="9" t="inlineStr">
        <is>
          <t>Equivalencia (meses, 20d/mes)</t>
        </is>
      </c>
      <c r="B12" s="6">
        <f>ROUND(B11/20,1)&amp;" m"</f>
        <v/>
      </c>
      <c r="C12" s="6">
        <f>ROUND(C11/20,1)&amp;" m"</f>
        <v/>
      </c>
      <c r="D12" s="6">
        <f>ROUND(D11/20,1)&amp;" m"</f>
        <v/>
      </c>
      <c r="E12" s="6">
        <f>ROUND(E11/20,1)&amp;" m"</f>
        <v/>
      </c>
    </row>
    <row r="14" ht="55" customHeight="1">
      <c r="A14" s="8" t="inlineStr">
        <is>
          <t>📌 Sin curar, el proyecto XL de BD llegaría a 187 días efectivos (≈9.3 meses) — supera el techo de 6 meses ya establecido para acompañamientos embebidos (§3.7). Esa es la razón concreta para preferir la versión curada («ANS BD Final»): no todas las sub-etapas de una fase se hacen siempre, y estirar todas al mismo proyecto no refleja cómo trabaja el equipo en la realidad.</t>
        </is>
      </c>
      <c r="B14" s="2" t="n"/>
      <c r="C14" s="2" t="n"/>
      <c r="D14" s="2" t="n"/>
      <c r="E14" s="3" t="n"/>
    </row>
  </sheetData>
  <mergeCells count="3">
    <mergeCell ref="A2:E2"/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2026-07-17T15:30:33Z</dcterms:created>
  <dcterms:modified xsi:type="dcterms:W3CDTF">2026-07-17T15:30:33Z</dcterms:modified>
</cp:coreProperties>
</file>